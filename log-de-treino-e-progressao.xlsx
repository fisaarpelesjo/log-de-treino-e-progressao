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EINOS" sheetId="1" r:id="rId5"/>
    <sheet state="visible" name="EXERCICIOS" sheetId="2" r:id="rId6"/>
    <sheet state="visible" name="DIETA" sheetId="3" r:id="rId7"/>
    <sheet state="visible" name="ALIMENTOS" sheetId="4" r:id="rId8"/>
  </sheets>
  <definedNames>
    <definedName name="LISTA_C">#REF!</definedName>
    <definedName name="LISTA_A">#REF!</definedName>
    <definedName name="LISTA_B">#REF!</definedName>
    <definedName hidden="1" localSheetId="0" name="_xlnm._FilterDatabase">TREINOS!$A$1:$D$16</definedName>
  </definedNames>
  <calcPr/>
</workbook>
</file>

<file path=xl/sharedStrings.xml><?xml version="1.0" encoding="utf-8"?>
<sst xmlns="http://schemas.openxmlformats.org/spreadsheetml/2006/main" count="311" uniqueCount="133">
  <si>
    <t>Data</t>
  </si>
  <si>
    <t>Semana</t>
  </si>
  <si>
    <t>Treino</t>
  </si>
  <si>
    <t>Exercício</t>
  </si>
  <si>
    <t>Séries</t>
  </si>
  <si>
    <t>Reps</t>
  </si>
  <si>
    <t>Carga_kg</t>
  </si>
  <si>
    <t>RPE_final</t>
  </si>
  <si>
    <t>Volume</t>
  </si>
  <si>
    <t>Decisão</t>
  </si>
  <si>
    <t>Carga_anterior</t>
  </si>
  <si>
    <t>Próxima_carga</t>
  </si>
  <si>
    <t>Observações</t>
  </si>
  <si>
    <t>B</t>
  </si>
  <si>
    <t>Agachamento (barra, leve -10%)</t>
  </si>
  <si>
    <t>Stiff com barra</t>
  </si>
  <si>
    <t>Desenvolvimento (barra em pe)</t>
  </si>
  <si>
    <t>Remada curvada (barra)</t>
  </si>
  <si>
    <t>Supino reto (barra)</t>
  </si>
  <si>
    <t>Crucifixo invertido</t>
  </si>
  <si>
    <t>Elevacao lateral (halter, leve -10%)</t>
  </si>
  <si>
    <t>A</t>
  </si>
  <si>
    <t>Agachamento (barra)</t>
  </si>
  <si>
    <t>Pull-over (barra)</t>
  </si>
  <si>
    <t>Elevacao lateral (halter)</t>
  </si>
  <si>
    <t>Rosca direta (barra/halter)</t>
  </si>
  <si>
    <t>Triceps testa (barra/halter)</t>
  </si>
  <si>
    <t>Densidade_meta</t>
  </si>
  <si>
    <t>Peso_total_g</t>
  </si>
  <si>
    <t>Proteina_meta</t>
  </si>
  <si>
    <t>Carbo_meta</t>
  </si>
  <si>
    <t>Gordura_meta</t>
  </si>
  <si>
    <t>Calorias_meta</t>
  </si>
  <si>
    <t>Fibra_meta</t>
  </si>
  <si>
    <t>Omega3_meta</t>
  </si>
  <si>
    <t>Potassio_meta</t>
  </si>
  <si>
    <t>Magnesio_meta</t>
  </si>
  <si>
    <t>Zinco_meta</t>
  </si>
  <si>
    <t>VitaminaD_meta</t>
  </si>
  <si>
    <t>Densidade_calórica</t>
  </si>
  <si>
    <t>Proteina_total</t>
  </si>
  <si>
    <t>Carbo_total</t>
  </si>
  <si>
    <t>Gordura_total</t>
  </si>
  <si>
    <t>Calorias_total</t>
  </si>
  <si>
    <t>Fibra_total</t>
  </si>
  <si>
    <t>Omega3_total</t>
  </si>
  <si>
    <t>Potassio_total</t>
  </si>
  <si>
    <t>Magnesio_total</t>
  </si>
  <si>
    <t>Zinco_total</t>
  </si>
  <si>
    <t>VitaminaD_total</t>
  </si>
  <si>
    <t>Refeição</t>
  </si>
  <si>
    <t>Alimento</t>
  </si>
  <si>
    <t>Quantidade</t>
  </si>
  <si>
    <t>Unidade_base</t>
  </si>
  <si>
    <t>Peso_unit_g</t>
  </si>
  <si>
    <t>Proteína_g</t>
  </si>
  <si>
    <t>Carbo_g</t>
  </si>
  <si>
    <t>Gordura_g</t>
  </si>
  <si>
    <t>Calorias</t>
  </si>
  <si>
    <t>Fibra_g</t>
  </si>
  <si>
    <t>Omega3_g</t>
  </si>
  <si>
    <t>Potassio_mg</t>
  </si>
  <si>
    <t>Magnesio_mg</t>
  </si>
  <si>
    <t>Zinco_mg</t>
  </si>
  <si>
    <t>VitaminaD_UI</t>
  </si>
  <si>
    <t>Café</t>
  </si>
  <si>
    <t>Ovo inteiro</t>
  </si>
  <si>
    <t>Leite UHT Semidesnatado (Marca)</t>
  </si>
  <si>
    <t>copo</t>
  </si>
  <si>
    <t>Vitamina D3 Max Titanium</t>
  </si>
  <si>
    <t>cápsula</t>
  </si>
  <si>
    <t>Omega 3 Supley</t>
  </si>
  <si>
    <t>Lanche</t>
  </si>
  <si>
    <t>Banana</t>
  </si>
  <si>
    <t>unidade</t>
  </si>
  <si>
    <t>Whey protein</t>
  </si>
  <si>
    <t>porção</t>
  </si>
  <si>
    <t>Aveia</t>
  </si>
  <si>
    <t>g</t>
  </si>
  <si>
    <t>Almoço</t>
  </si>
  <si>
    <t>Arroz branco cozido</t>
  </si>
  <si>
    <t>Feijão carioca cozido</t>
  </si>
  <si>
    <t>Filé de peito de frango congelado</t>
  </si>
  <si>
    <t>Cenoura</t>
  </si>
  <si>
    <t>Espinafre cozido</t>
  </si>
  <si>
    <t>Azeite de oliva</t>
  </si>
  <si>
    <t>colher</t>
  </si>
  <si>
    <t>Janta</t>
  </si>
  <si>
    <t/>
  </si>
  <si>
    <t>Unidade</t>
  </si>
  <si>
    <t>Peso_unidade_g</t>
  </si>
  <si>
    <t>Proteina_g</t>
  </si>
  <si>
    <t>Clara de ovo</t>
  </si>
  <si>
    <t>Ovo mexido</t>
  </si>
  <si>
    <t>Ovo cozido</t>
  </si>
  <si>
    <t>Maçã</t>
  </si>
  <si>
    <t>Pão francês</t>
  </si>
  <si>
    <t>Pão de forma</t>
  </si>
  <si>
    <t>Arroz integral cozido</t>
  </si>
  <si>
    <t>Feijão preto cozido</t>
  </si>
  <si>
    <t>Lentilha cozida</t>
  </si>
  <si>
    <t>Grão de bico cozido</t>
  </si>
  <si>
    <t>Macarrão cozido</t>
  </si>
  <si>
    <t>Batata cozida</t>
  </si>
  <si>
    <t>Batata doce</t>
  </si>
  <si>
    <t>Farinha de aveia</t>
  </si>
  <si>
    <t>Carne bovina magra</t>
  </si>
  <si>
    <t>Carne moída</t>
  </si>
  <si>
    <t>Leite integral</t>
  </si>
  <si>
    <t>Leite desnatado</t>
  </si>
  <si>
    <t>Iogurte natural</t>
  </si>
  <si>
    <t>pote</t>
  </si>
  <si>
    <t>Queijo muçarela</t>
  </si>
  <si>
    <t>Queijo minas</t>
  </si>
  <si>
    <t>Queijo prato</t>
  </si>
  <si>
    <t>Amendoim</t>
  </si>
  <si>
    <t>Castanha do pará</t>
  </si>
  <si>
    <t>Castanha de caju</t>
  </si>
  <si>
    <t>Manteiga</t>
  </si>
  <si>
    <t>Maionese</t>
  </si>
  <si>
    <t>Alface</t>
  </si>
  <si>
    <t>Tomate</t>
  </si>
  <si>
    <t>Brócolis</t>
  </si>
  <si>
    <t>Abacate</t>
  </si>
  <si>
    <t>Chocolate 70%</t>
  </si>
  <si>
    <t>Batata frita</t>
  </si>
  <si>
    <t>Açúcar</t>
  </si>
  <si>
    <t>Escarola</t>
  </si>
  <si>
    <t>Laranja</t>
  </si>
  <si>
    <t>Aveia flocos finos Nestlé</t>
  </si>
  <si>
    <t>Bacalhau cozido</t>
  </si>
  <si>
    <t>Leite de coco</t>
  </si>
  <si>
    <t>Chocolate ao leite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</si>
</sst>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6">
    <font>
      <sz val="10.0"/>
      <color rgb="FF000000"/>
      <name val="Arial"/>
      <scheme val="minor"/>
    </font>
    <font>
      <b/>
      <color theme="1"/>
      <name val="Montserrat"/>
    </font>
    <font>
      <sz val="10.0"/>
      <color theme="1"/>
      <name val="Montserrat"/>
    </font>
    <font>
      <color theme="1"/>
      <name val="Montserrat"/>
    </font>
    <font>
      <color theme="1"/>
      <name val="Arial"/>
      <scheme val="minor"/>
    </font>
    <font>
      <b/>
      <sz val="10.0"/>
      <color theme="1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3" fontId="2" numFmtId="14" xfId="0" applyAlignment="1" applyBorder="1" applyFill="1" applyFont="1" applyNumberFormat="1">
      <alignment readingOrder="0"/>
    </xf>
    <xf borderId="1" fillId="3" fontId="3" numFmtId="0" xfId="0" applyBorder="1" applyFont="1"/>
    <xf borderId="1" fillId="0" fontId="3" numFmtId="0" xfId="0" applyAlignment="1" applyBorder="1" applyFont="1">
      <alignment readingOrder="0"/>
    </xf>
    <xf borderId="1" fillId="0" fontId="3" numFmtId="0" xfId="0" applyBorder="1" applyFont="1"/>
    <xf borderId="1" fillId="0" fontId="2" numFmtId="0" xfId="0" applyAlignment="1" applyBorder="1" applyFont="1">
      <alignment readingOrder="0"/>
    </xf>
    <xf borderId="0" fillId="4" fontId="3" numFmtId="0" xfId="0" applyAlignment="1" applyFill="1" applyFont="1">
      <alignment readingOrder="0"/>
    </xf>
    <xf borderId="0" fillId="5" fontId="3" numFmtId="0" xfId="0" applyAlignment="1" applyFill="1" applyFont="1">
      <alignment readingOrder="0"/>
    </xf>
    <xf borderId="0" fillId="0" fontId="4" numFmtId="0" xfId="0" applyAlignment="1" applyFont="1">
      <alignment horizontal="center" vertical="center"/>
    </xf>
    <xf borderId="1" fillId="6" fontId="1" numFmtId="0" xfId="0" applyAlignment="1" applyBorder="1" applyFill="1" applyFont="1">
      <alignment readingOrder="0"/>
    </xf>
    <xf borderId="2" fillId="3" fontId="3" numFmtId="0" xfId="0" applyAlignment="1" applyBorder="1" applyFont="1">
      <alignment horizontal="right" readingOrder="0"/>
    </xf>
    <xf borderId="2" fillId="0" fontId="4" numFmtId="0" xfId="0" applyBorder="1" applyFont="1"/>
    <xf borderId="2" fillId="3" fontId="3" numFmtId="0" xfId="0" applyAlignment="1" applyBorder="1" applyFont="1">
      <alignment readingOrder="0"/>
    </xf>
    <xf borderId="2" fillId="0" fontId="3" numFmtId="2" xfId="0" applyBorder="1" applyFont="1" applyNumberFormat="1"/>
    <xf borderId="2" fillId="0" fontId="3" numFmtId="4" xfId="0" applyBorder="1" applyFont="1" applyNumberFormat="1"/>
    <xf borderId="2" fillId="0" fontId="3" numFmtId="0" xfId="0" applyBorder="1" applyFont="1"/>
    <xf borderId="2" fillId="0" fontId="3" numFmtId="1" xfId="0" applyBorder="1" applyFont="1" applyNumberFormat="1"/>
    <xf borderId="2" fillId="0" fontId="3" numFmtId="164" xfId="0" applyBorder="1" applyFont="1" applyNumberFormat="1"/>
    <xf borderId="1" fillId="2" fontId="5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0" xfId="0" applyBorder="1" applyFont="1"/>
    <xf borderId="3" fillId="0" fontId="3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2" fillId="0" fontId="2" numFmtId="0" xfId="0" applyBorder="1" applyFont="1"/>
    <xf borderId="0" fillId="0" fontId="2" numFmtId="0" xfId="0" applyAlignment="1" applyFont="1">
      <alignment readingOrder="0"/>
    </xf>
    <xf borderId="0" fillId="0" fontId="2" numFmtId="0" xfId="0" applyFont="1"/>
    <xf borderId="1" fillId="2" fontId="1" numFmtId="4" xfId="0" applyAlignment="1" applyBorder="1" applyFont="1" applyNumberFormat="1">
      <alignment readingOrder="0"/>
    </xf>
    <xf borderId="1" fillId="0" fontId="3" numFmtId="0" xfId="0" applyAlignment="1" applyBorder="1" applyFont="1">
      <alignment horizontal="right" readingOrder="0"/>
    </xf>
    <xf borderId="1" fillId="0" fontId="3" numFmtId="3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</cellXfs>
  <cellStyles count="1">
    <cellStyle xfId="0" name="Normal" builtinId="0"/>
  </cellStyles>
  <dxfs count="6"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3419475" cy="971550"/>
    <xdr:pic>
      <xdr:nvPicPr>
        <xdr:cNvPr id="0" name="image1.gif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1.0"/>
    <col customWidth="1" min="2" max="2" width="10.63"/>
    <col customWidth="1" min="3" max="3" width="9.0"/>
    <col customWidth="1" min="4" max="4" width="31.13"/>
    <col customWidth="1" min="5" max="5" width="6.25"/>
    <col customWidth="1" min="6" max="6" width="5.38"/>
    <col customWidth="1" min="7" max="8" width="9.25"/>
    <col customWidth="1" min="9" max="9" width="7.75"/>
    <col customWidth="1" min="10" max="10" width="10.88"/>
    <col customWidth="1" min="11" max="12" width="14.0"/>
    <col customWidth="1" min="13" max="13" width="12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>
        <v>46120.0</v>
      </c>
      <c r="B2" s="3" t="str">
        <f t="shared" ref="B2:B16" si="1">IF(A2="","",YEAR(A2)&amp;"-W"&amp;TEXT(ISOWEEKNUM(A2),"00"))</f>
        <v>2026-W15</v>
      </c>
      <c r="C2" s="4" t="s">
        <v>13</v>
      </c>
      <c r="D2" s="4" t="s">
        <v>14</v>
      </c>
      <c r="E2" s="5">
        <f t="array" ref="E2">IF(D2="","",IFERROR(INDEX(EXERCICIOS!B:B,MATCH(TRIM(D2),TRIM(EXERCICIOS!A:A),0)),""))</f>
        <v>3</v>
      </c>
      <c r="F2" s="5">
        <f t="array" ref="F2">IF(D2="","",IFERROR(INDEX(EXERCICIOS!C:C,MATCH(TRIM(D2),TRIM(EXERCICIOS!A:A),0)),""))</f>
        <v>5</v>
      </c>
      <c r="G2" s="6">
        <v>46.0</v>
      </c>
      <c r="H2" s="4">
        <v>8.0</v>
      </c>
      <c r="I2" s="5">
        <f t="shared" ref="I2:I16" si="2">IFERROR(E2*F2*G2,0)</f>
        <v>690</v>
      </c>
      <c r="J2" s="5" t="str">
        <f t="shared" ref="J2:J16" si="3">IF(H2="","",IF(H2&lt;=8,"AUMENTAR",IF(H2=9,"MANTER","REDUZIR")))</f>
        <v>AUMENTAR</v>
      </c>
      <c r="K2" s="5" t="str">
        <f t="shared" ref="K2:K16" si="4">IF(ROW()=2,"",IFERROR(LOOKUP(2,1/($D$2:INDEX($D:$D,ROW()-1)=D2),$G$2:INDEX($G:$G,ROW()-1)),""))</f>
        <v/>
      </c>
      <c r="L2" s="5">
        <f t="shared" ref="L2:L16" si="5">IF(J2="AUMENTAR",G2+2.5,IF(J2="REDUZIR",G2-2.5,G2))</f>
        <v>48.5</v>
      </c>
      <c r="M2" s="5"/>
    </row>
    <row r="3">
      <c r="A3" s="2">
        <v>46120.0</v>
      </c>
      <c r="B3" s="3" t="str">
        <f t="shared" si="1"/>
        <v>2026-W15</v>
      </c>
      <c r="C3" s="4" t="s">
        <v>13</v>
      </c>
      <c r="D3" s="4" t="s">
        <v>15</v>
      </c>
      <c r="E3" s="5">
        <f t="array" ref="E3">IF(D3="","",IFERROR(INDEX(EXERCICIOS!B:B,MATCH(TRIM(D3),TRIM(EXERCICIOS!A:A),0)),""))</f>
        <v>3</v>
      </c>
      <c r="F3" s="5">
        <f t="array" ref="F3">IF(D3="","",IFERROR(INDEX(EXERCICIOS!C:C,MATCH(TRIM(D3),TRIM(EXERCICIOS!A:A),0)),""))</f>
        <v>8</v>
      </c>
      <c r="G3" s="6">
        <v>40.0</v>
      </c>
      <c r="H3" s="4">
        <v>8.0</v>
      </c>
      <c r="I3" s="5">
        <f t="shared" si="2"/>
        <v>960</v>
      </c>
      <c r="J3" s="5" t="str">
        <f t="shared" si="3"/>
        <v>AUMENTAR</v>
      </c>
      <c r="K3" s="5" t="str">
        <f t="shared" si="4"/>
        <v/>
      </c>
      <c r="L3" s="5">
        <f t="shared" si="5"/>
        <v>42.5</v>
      </c>
      <c r="M3" s="5"/>
    </row>
    <row r="4">
      <c r="A4" s="2">
        <v>46120.0</v>
      </c>
      <c r="B4" s="3" t="str">
        <f t="shared" si="1"/>
        <v>2026-W15</v>
      </c>
      <c r="C4" s="4" t="s">
        <v>13</v>
      </c>
      <c r="D4" s="4" t="s">
        <v>16</v>
      </c>
      <c r="E4" s="5">
        <f t="array" ref="E4">IF(D4="","",IFERROR(INDEX(EXERCICIOS!B:B,MATCH(TRIM(D4),TRIM(EXERCICIOS!A:A),0)),""))</f>
        <v>3</v>
      </c>
      <c r="F4" s="5">
        <f t="array" ref="F4">IF(D4="","",IFERROR(INDEX(EXERCICIOS!C:C,MATCH(TRIM(D4),TRIM(EXERCICIOS!A:A),0)),""))</f>
        <v>5</v>
      </c>
      <c r="G4" s="6">
        <v>30.0</v>
      </c>
      <c r="H4" s="4">
        <v>9.0</v>
      </c>
      <c r="I4" s="5">
        <f t="shared" si="2"/>
        <v>450</v>
      </c>
      <c r="J4" s="5" t="str">
        <f t="shared" si="3"/>
        <v>MANTER</v>
      </c>
      <c r="K4" s="5" t="str">
        <f t="shared" si="4"/>
        <v/>
      </c>
      <c r="L4" s="5">
        <f t="shared" si="5"/>
        <v>30</v>
      </c>
      <c r="M4" s="5"/>
    </row>
    <row r="5">
      <c r="A5" s="2">
        <v>46120.0</v>
      </c>
      <c r="B5" s="3" t="str">
        <f t="shared" si="1"/>
        <v>2026-W15</v>
      </c>
      <c r="C5" s="4" t="s">
        <v>13</v>
      </c>
      <c r="D5" s="4" t="s">
        <v>17</v>
      </c>
      <c r="E5" s="5">
        <f t="array" ref="E5">IF(D5="","",IFERROR(INDEX(EXERCICIOS!B:B,MATCH(TRIM(D5),TRIM(EXERCICIOS!A:A),0)),""))</f>
        <v>3</v>
      </c>
      <c r="F5" s="5">
        <f t="array" ref="F5">IF(D5="","",IFERROR(INDEX(EXERCICIOS!C:C,MATCH(TRIM(D5),TRIM(EXERCICIOS!A:A),0)),""))</f>
        <v>8</v>
      </c>
      <c r="G5" s="6">
        <v>40.0</v>
      </c>
      <c r="H5" s="4">
        <v>9.0</v>
      </c>
      <c r="I5" s="5">
        <f t="shared" si="2"/>
        <v>960</v>
      </c>
      <c r="J5" s="5" t="str">
        <f t="shared" si="3"/>
        <v>MANTER</v>
      </c>
      <c r="K5" s="5" t="str">
        <f t="shared" si="4"/>
        <v/>
      </c>
      <c r="L5" s="5">
        <f t="shared" si="5"/>
        <v>40</v>
      </c>
      <c r="M5" s="5"/>
    </row>
    <row r="6">
      <c r="A6" s="2">
        <v>46120.0</v>
      </c>
      <c r="B6" s="3" t="str">
        <f t="shared" si="1"/>
        <v>2026-W15</v>
      </c>
      <c r="C6" s="4" t="s">
        <v>13</v>
      </c>
      <c r="D6" s="4" t="s">
        <v>18</v>
      </c>
      <c r="E6" s="5">
        <f t="array" ref="E6">IF(D6="","",IFERROR(INDEX(EXERCICIOS!B:B,MATCH(TRIM(D6),TRIM(EXERCICIOS!A:A),0)),""))</f>
        <v>3</v>
      </c>
      <c r="F6" s="5">
        <f t="array" ref="F6">IF(D6="","",IFERROR(INDEX(EXERCICIOS!C:C,MATCH(TRIM(D6),TRIM(EXERCICIOS!A:A),0)),""))</f>
        <v>5</v>
      </c>
      <c r="G6" s="6">
        <v>36.0</v>
      </c>
      <c r="H6" s="4">
        <v>9.0</v>
      </c>
      <c r="I6" s="5">
        <f t="shared" si="2"/>
        <v>540</v>
      </c>
      <c r="J6" s="5" t="str">
        <f t="shared" si="3"/>
        <v>MANTER</v>
      </c>
      <c r="K6" s="5" t="str">
        <f t="shared" si="4"/>
        <v/>
      </c>
      <c r="L6" s="5">
        <f t="shared" si="5"/>
        <v>36</v>
      </c>
      <c r="M6" s="5"/>
    </row>
    <row r="7">
      <c r="A7" s="2">
        <v>46120.0</v>
      </c>
      <c r="B7" s="3" t="str">
        <f t="shared" si="1"/>
        <v>2026-W15</v>
      </c>
      <c r="C7" s="4" t="s">
        <v>13</v>
      </c>
      <c r="D7" s="4" t="s">
        <v>19</v>
      </c>
      <c r="E7" s="5">
        <f t="array" ref="E7">IF(D7="","",IFERROR(INDEX(EXERCICIOS!B:B,MATCH(TRIM(D7),TRIM(EXERCICIOS!A:A),0)),""))</f>
        <v>4</v>
      </c>
      <c r="F7" s="5">
        <f t="array" ref="F7">IF(D7="","",IFERROR(INDEX(EXERCICIOS!C:C,MATCH(TRIM(D7),TRIM(EXERCICIOS!A:A),0)),""))</f>
        <v>8</v>
      </c>
      <c r="G7" s="6">
        <v>10.0</v>
      </c>
      <c r="H7" s="4">
        <v>9.0</v>
      </c>
      <c r="I7" s="5">
        <f t="shared" si="2"/>
        <v>320</v>
      </c>
      <c r="J7" s="5" t="str">
        <f t="shared" si="3"/>
        <v>MANTER</v>
      </c>
      <c r="K7" s="5" t="str">
        <f t="shared" si="4"/>
        <v/>
      </c>
      <c r="L7" s="5">
        <f t="shared" si="5"/>
        <v>10</v>
      </c>
      <c r="M7" s="5"/>
    </row>
    <row r="8">
      <c r="A8" s="2">
        <v>46120.0</v>
      </c>
      <c r="B8" s="3" t="str">
        <f t="shared" si="1"/>
        <v>2026-W15</v>
      </c>
      <c r="C8" s="4" t="s">
        <v>13</v>
      </c>
      <c r="D8" s="4" t="s">
        <v>20</v>
      </c>
      <c r="E8" s="5">
        <f t="array" ref="E8">IF(D8="","",IFERROR(INDEX(EXERCICIOS!B:B,MATCH(TRIM(D8),TRIM(EXERCICIOS!A:A),0)),""))</f>
        <v>4</v>
      </c>
      <c r="F8" s="5">
        <f t="array" ref="F8">IF(D8="","",IFERROR(INDEX(EXERCICIOS!C:C,MATCH(TRIM(D8),TRIM(EXERCICIOS!A:A),0)),""))</f>
        <v>8</v>
      </c>
      <c r="G8" s="6">
        <v>10.0</v>
      </c>
      <c r="H8" s="4">
        <v>10.0</v>
      </c>
      <c r="I8" s="5">
        <f t="shared" si="2"/>
        <v>320</v>
      </c>
      <c r="J8" s="5" t="str">
        <f t="shared" si="3"/>
        <v>REDUZIR</v>
      </c>
      <c r="K8" s="5" t="str">
        <f t="shared" si="4"/>
        <v/>
      </c>
      <c r="L8" s="5">
        <f t="shared" si="5"/>
        <v>7.5</v>
      </c>
      <c r="M8" s="5"/>
    </row>
    <row r="9">
      <c r="A9" s="2">
        <v>46122.0</v>
      </c>
      <c r="B9" s="3" t="str">
        <f t="shared" si="1"/>
        <v>2026-W15</v>
      </c>
      <c r="C9" s="4" t="s">
        <v>21</v>
      </c>
      <c r="D9" s="4" t="s">
        <v>22</v>
      </c>
      <c r="E9" s="5">
        <f t="array" ref="E9">IF(D9="","",IFERROR(INDEX(EXERCICIOS!B:B,MATCH(TRIM(D9),TRIM(EXERCICIOS!A:A),0)),""))</f>
        <v>3</v>
      </c>
      <c r="F9" s="5">
        <f t="array" ref="F9">IF(D9="","",IFERROR(INDEX(EXERCICIOS!C:C,MATCH(TRIM(D9),TRIM(EXERCICIOS!A:A),0)),""))</f>
        <v>5</v>
      </c>
      <c r="G9" s="6">
        <v>50.0</v>
      </c>
      <c r="H9" s="4">
        <v>8.0</v>
      </c>
      <c r="I9" s="5">
        <f t="shared" si="2"/>
        <v>750</v>
      </c>
      <c r="J9" s="5" t="str">
        <f t="shared" si="3"/>
        <v>AUMENTAR</v>
      </c>
      <c r="K9" s="5" t="str">
        <f t="shared" si="4"/>
        <v/>
      </c>
      <c r="L9" s="5">
        <f t="shared" si="5"/>
        <v>52.5</v>
      </c>
      <c r="M9" s="5"/>
    </row>
    <row r="10">
      <c r="A10" s="2">
        <v>46122.0</v>
      </c>
      <c r="B10" s="3" t="str">
        <f t="shared" si="1"/>
        <v>2026-W15</v>
      </c>
      <c r="C10" s="4" t="s">
        <v>21</v>
      </c>
      <c r="D10" s="4" t="s">
        <v>18</v>
      </c>
      <c r="E10" s="5">
        <f t="array" ref="E10">IF(D10="","",IFERROR(INDEX(EXERCICIOS!B:B,MATCH(TRIM(D10),TRIM(EXERCICIOS!A:A),0)),""))</f>
        <v>3</v>
      </c>
      <c r="F10" s="5">
        <f t="array" ref="F10">IF(D10="","",IFERROR(INDEX(EXERCICIOS!C:C,MATCH(TRIM(D10),TRIM(EXERCICIOS!A:A),0)),""))</f>
        <v>5</v>
      </c>
      <c r="G10" s="6">
        <v>36.0</v>
      </c>
      <c r="H10" s="4">
        <v>8.0</v>
      </c>
      <c r="I10" s="5">
        <f t="shared" si="2"/>
        <v>540</v>
      </c>
      <c r="J10" s="5" t="str">
        <f t="shared" si="3"/>
        <v>AUMENTAR</v>
      </c>
      <c r="K10" s="5" t="str">
        <f t="shared" si="4"/>
        <v/>
      </c>
      <c r="L10" s="5">
        <f t="shared" si="5"/>
        <v>38.5</v>
      </c>
      <c r="M10" s="5"/>
    </row>
    <row r="11">
      <c r="A11" s="2">
        <v>46122.0</v>
      </c>
      <c r="B11" s="3" t="str">
        <f t="shared" si="1"/>
        <v>2026-W15</v>
      </c>
      <c r="C11" s="4" t="s">
        <v>21</v>
      </c>
      <c r="D11" s="4" t="s">
        <v>17</v>
      </c>
      <c r="E11" s="5">
        <f t="array" ref="E11">IF(D11="","",IFERROR(INDEX(EXERCICIOS!B:B,MATCH(TRIM(D11),TRIM(EXERCICIOS!A:A),0)),""))</f>
        <v>3</v>
      </c>
      <c r="F11" s="5">
        <f t="array" ref="F11">IF(D11="","",IFERROR(INDEX(EXERCICIOS!C:C,MATCH(TRIM(D11),TRIM(EXERCICIOS!A:A),0)),""))</f>
        <v>8</v>
      </c>
      <c r="G11" s="6">
        <v>40.0</v>
      </c>
      <c r="H11" s="4">
        <v>8.0</v>
      </c>
      <c r="I11" s="5">
        <f t="shared" si="2"/>
        <v>960</v>
      </c>
      <c r="J11" s="5" t="str">
        <f t="shared" si="3"/>
        <v>AUMENTAR</v>
      </c>
      <c r="K11" s="5" t="str">
        <f t="shared" si="4"/>
        <v/>
      </c>
      <c r="L11" s="5">
        <f t="shared" si="5"/>
        <v>42.5</v>
      </c>
      <c r="M11" s="5"/>
    </row>
    <row r="12">
      <c r="A12" s="2">
        <v>46122.0</v>
      </c>
      <c r="B12" s="3" t="str">
        <f t="shared" si="1"/>
        <v>2026-W15</v>
      </c>
      <c r="C12" s="4" t="s">
        <v>21</v>
      </c>
      <c r="D12" s="4" t="s">
        <v>23</v>
      </c>
      <c r="E12" s="5">
        <f t="array" ref="E12">IF(D12="","",IFERROR(INDEX(EXERCICIOS!B:B,MATCH(TRIM(D12),TRIM(EXERCICIOS!A:A),0)),""))</f>
        <v>4</v>
      </c>
      <c r="F12" s="5">
        <f t="array" ref="F12">IF(D12="","",IFERROR(INDEX(EXERCICIOS!C:C,MATCH(TRIM(D12),TRIM(EXERCICIOS!A:A),0)),""))</f>
        <v>8</v>
      </c>
      <c r="G12" s="6">
        <v>20.0</v>
      </c>
      <c r="H12" s="4">
        <v>9.0</v>
      </c>
      <c r="I12" s="5">
        <f t="shared" si="2"/>
        <v>640</v>
      </c>
      <c r="J12" s="5" t="str">
        <f t="shared" si="3"/>
        <v>MANTER</v>
      </c>
      <c r="K12" s="5" t="str">
        <f t="shared" si="4"/>
        <v/>
      </c>
      <c r="L12" s="5">
        <f t="shared" si="5"/>
        <v>20</v>
      </c>
      <c r="M12" s="5"/>
    </row>
    <row r="13">
      <c r="A13" s="2">
        <v>46122.0</v>
      </c>
      <c r="B13" s="3" t="str">
        <f t="shared" si="1"/>
        <v>2026-W15</v>
      </c>
      <c r="C13" s="4" t="s">
        <v>21</v>
      </c>
      <c r="D13" s="4" t="s">
        <v>24</v>
      </c>
      <c r="E13" s="5">
        <f t="array" ref="E13">IF(D13="","",IFERROR(INDEX(EXERCICIOS!B:B,MATCH(TRIM(D13),TRIM(EXERCICIOS!A:A),0)),""))</f>
        <v>4</v>
      </c>
      <c r="F13" s="5">
        <f t="array" ref="F13">IF(D13="","",IFERROR(INDEX(EXERCICIOS!C:C,MATCH(TRIM(D13),TRIM(EXERCICIOS!A:A),0)),""))</f>
        <v>8</v>
      </c>
      <c r="G13" s="6">
        <v>12.0</v>
      </c>
      <c r="H13" s="4">
        <v>9.0</v>
      </c>
      <c r="I13" s="5">
        <f t="shared" si="2"/>
        <v>384</v>
      </c>
      <c r="J13" s="5" t="str">
        <f t="shared" si="3"/>
        <v>MANTER</v>
      </c>
      <c r="K13" s="5" t="str">
        <f t="shared" si="4"/>
        <v/>
      </c>
      <c r="L13" s="5">
        <f t="shared" si="5"/>
        <v>12</v>
      </c>
      <c r="M13" s="5"/>
    </row>
    <row r="14">
      <c r="A14" s="2">
        <v>46122.0</v>
      </c>
      <c r="B14" s="3" t="str">
        <f t="shared" si="1"/>
        <v>2026-W15</v>
      </c>
      <c r="C14" s="4" t="s">
        <v>21</v>
      </c>
      <c r="D14" s="4" t="s">
        <v>19</v>
      </c>
      <c r="E14" s="5">
        <f t="array" ref="E14">IF(D14="","",IFERROR(INDEX(EXERCICIOS!B:B,MATCH(TRIM(D14),TRIM(EXERCICIOS!A:A),0)),""))</f>
        <v>4</v>
      </c>
      <c r="F14" s="5">
        <f t="array" ref="F14">IF(D14="","",IFERROR(INDEX(EXERCICIOS!C:C,MATCH(TRIM(D14),TRIM(EXERCICIOS!A:A),0)),""))</f>
        <v>8</v>
      </c>
      <c r="G14" s="6">
        <v>12.0</v>
      </c>
      <c r="H14" s="4">
        <v>8.0</v>
      </c>
      <c r="I14" s="5">
        <f t="shared" si="2"/>
        <v>384</v>
      </c>
      <c r="J14" s="5" t="str">
        <f t="shared" si="3"/>
        <v>AUMENTAR</v>
      </c>
      <c r="K14" s="5" t="str">
        <f t="shared" si="4"/>
        <v/>
      </c>
      <c r="L14" s="5">
        <f t="shared" si="5"/>
        <v>14.5</v>
      </c>
      <c r="M14" s="5"/>
    </row>
    <row r="15">
      <c r="A15" s="2">
        <v>46122.0</v>
      </c>
      <c r="B15" s="3" t="str">
        <f t="shared" si="1"/>
        <v>2026-W15</v>
      </c>
      <c r="C15" s="4" t="s">
        <v>21</v>
      </c>
      <c r="D15" s="4" t="s">
        <v>25</v>
      </c>
      <c r="E15" s="5">
        <f t="array" ref="E15">IF(D15="","",IFERROR(INDEX(EXERCICIOS!B:B,MATCH(TRIM(D15),TRIM(EXERCICIOS!A:A),0)),""))</f>
        <v>3</v>
      </c>
      <c r="F15" s="5">
        <f t="array" ref="F15">IF(D15="","",IFERROR(INDEX(EXERCICIOS!C:C,MATCH(TRIM(D15),TRIM(EXERCICIOS!A:A),0)),""))</f>
        <v>10</v>
      </c>
      <c r="G15" s="6">
        <v>17.5</v>
      </c>
      <c r="H15" s="4">
        <v>10.0</v>
      </c>
      <c r="I15" s="5">
        <f t="shared" si="2"/>
        <v>525</v>
      </c>
      <c r="J15" s="5" t="str">
        <f t="shared" si="3"/>
        <v>REDUZIR</v>
      </c>
      <c r="K15" s="5" t="str">
        <f t="shared" si="4"/>
        <v/>
      </c>
      <c r="L15" s="5">
        <f t="shared" si="5"/>
        <v>15</v>
      </c>
      <c r="M15" s="5"/>
    </row>
    <row r="16">
      <c r="A16" s="2">
        <v>46122.0</v>
      </c>
      <c r="B16" s="3" t="str">
        <f t="shared" si="1"/>
        <v>2026-W15</v>
      </c>
      <c r="C16" s="4" t="s">
        <v>21</v>
      </c>
      <c r="D16" s="4" t="s">
        <v>24</v>
      </c>
      <c r="E16" s="5">
        <f t="array" ref="E16">IF(D16="","",IFERROR(INDEX(EXERCICIOS!B:B,MATCH(TRIM(D16),TRIM(EXERCICIOS!A:A),0)),""))</f>
        <v>4</v>
      </c>
      <c r="F16" s="5">
        <f t="array" ref="F16">IF(D16="","",IFERROR(INDEX(EXERCICIOS!C:C,MATCH(TRIM(D16),TRIM(EXERCICIOS!A:A),0)),""))</f>
        <v>8</v>
      </c>
      <c r="G16" s="6">
        <v>17.5</v>
      </c>
      <c r="H16" s="4">
        <v>10.0</v>
      </c>
      <c r="I16" s="5">
        <f t="shared" si="2"/>
        <v>560</v>
      </c>
      <c r="J16" s="5" t="str">
        <f t="shared" si="3"/>
        <v>REDUZIR</v>
      </c>
      <c r="K16" s="5" t="str">
        <f t="shared" si="4"/>
        <v/>
      </c>
      <c r="L16" s="5">
        <f t="shared" si="5"/>
        <v>15</v>
      </c>
      <c r="M16" s="5"/>
    </row>
  </sheetData>
  <autoFilter ref="$A$1:$D$16"/>
  <conditionalFormatting sqref="A2:B16">
    <cfRule type="expression" dxfId="0" priority="1">
      <formula>$A2&lt;&gt;$A1</formula>
    </cfRule>
  </conditionalFormatting>
  <conditionalFormatting sqref="D2:M16">
    <cfRule type="expression" dxfId="1" priority="2">
      <formula>$J2="AUMENTAR"</formula>
    </cfRule>
  </conditionalFormatting>
  <conditionalFormatting sqref="D2:M16">
    <cfRule type="expression" dxfId="2" priority="3">
      <formula>$J2="REDUZIR"</formula>
    </cfRule>
  </conditionalFormatting>
  <conditionalFormatting sqref="D2:M16">
    <cfRule type="expression" dxfId="3" priority="4">
      <formula>$J2="MANTER"</formula>
    </cfRule>
  </conditionalFormatting>
  <dataValidations>
    <dataValidation type="list" allowBlank="1" showErrorMessage="1" sqref="C2:C16">
      <formula1>"A,B"</formula1>
    </dataValidation>
    <dataValidation type="list" allowBlank="1" showErrorMessage="1" sqref="D2:D16">
      <formula1>EXERCICIOS!$A$1:$A16</formula1>
    </dataValidation>
    <dataValidation type="custom" allowBlank="1" showDropDown="1" sqref="A2:A16">
      <formula1>OR(NOT(ISERROR(DATEVALUE(A2))), AND(ISNUMBER(A2), LEFT(CELL("format", A2))="D"))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  <col customWidth="1" min="2" max="2" width="2.13"/>
    <col customWidth="1" min="3" max="3" width="2.88"/>
  </cols>
  <sheetData>
    <row r="1">
      <c r="A1" s="7" t="s">
        <v>22</v>
      </c>
      <c r="B1" s="7">
        <v>3.0</v>
      </c>
      <c r="C1" s="7">
        <v>5.0</v>
      </c>
    </row>
    <row r="2">
      <c r="A2" s="7" t="s">
        <v>17</v>
      </c>
      <c r="B2" s="7">
        <v>3.0</v>
      </c>
      <c r="C2" s="7">
        <v>8.0</v>
      </c>
    </row>
    <row r="3">
      <c r="A3" s="7" t="s">
        <v>18</v>
      </c>
      <c r="B3" s="7">
        <v>3.0</v>
      </c>
      <c r="C3" s="7">
        <v>5.0</v>
      </c>
    </row>
    <row r="4">
      <c r="A4" s="7" t="s">
        <v>23</v>
      </c>
      <c r="B4" s="7">
        <v>4.0</v>
      </c>
      <c r="C4" s="7">
        <v>8.0</v>
      </c>
    </row>
    <row r="5">
      <c r="A5" s="7" t="s">
        <v>24</v>
      </c>
      <c r="B5" s="7">
        <v>4.0</v>
      </c>
      <c r="C5" s="7">
        <v>8.0</v>
      </c>
    </row>
    <row r="6">
      <c r="A6" s="7" t="s">
        <v>19</v>
      </c>
      <c r="B6" s="7">
        <v>4.0</v>
      </c>
      <c r="C6" s="7">
        <v>8.0</v>
      </c>
    </row>
    <row r="7">
      <c r="A7" s="7" t="s">
        <v>25</v>
      </c>
      <c r="B7" s="7">
        <v>3.0</v>
      </c>
      <c r="C7" s="7">
        <v>10.0</v>
      </c>
    </row>
    <row r="8">
      <c r="A8" s="7" t="s">
        <v>26</v>
      </c>
      <c r="B8" s="7">
        <v>3.0</v>
      </c>
      <c r="C8" s="7">
        <v>10.0</v>
      </c>
    </row>
    <row r="9">
      <c r="A9" s="8" t="s">
        <v>14</v>
      </c>
      <c r="B9" s="8">
        <v>3.0</v>
      </c>
      <c r="C9" s="8">
        <v>5.0</v>
      </c>
    </row>
    <row r="10">
      <c r="A10" s="8" t="s">
        <v>15</v>
      </c>
      <c r="B10" s="8">
        <v>3.0</v>
      </c>
      <c r="C10" s="8">
        <v>8.0</v>
      </c>
    </row>
    <row r="11">
      <c r="A11" s="8" t="s">
        <v>16</v>
      </c>
      <c r="B11" s="8">
        <v>3.0</v>
      </c>
      <c r="C11" s="8">
        <v>5.0</v>
      </c>
    </row>
    <row r="12">
      <c r="A12" s="8" t="s">
        <v>17</v>
      </c>
      <c r="B12" s="8">
        <v>3.0</v>
      </c>
      <c r="C12" s="8">
        <v>8.0</v>
      </c>
    </row>
    <row r="13">
      <c r="A13" s="8" t="s">
        <v>19</v>
      </c>
      <c r="B13" s="8">
        <v>4.0</v>
      </c>
      <c r="C13" s="8">
        <v>8.0</v>
      </c>
    </row>
    <row r="14">
      <c r="A14" s="8" t="s">
        <v>18</v>
      </c>
      <c r="B14" s="8">
        <v>3.0</v>
      </c>
      <c r="C14" s="8">
        <v>8.0</v>
      </c>
    </row>
    <row r="15">
      <c r="A15" s="8" t="s">
        <v>20</v>
      </c>
      <c r="B15" s="8">
        <v>4.0</v>
      </c>
      <c r="C15" s="8">
        <v>8.0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" width="32.0"/>
    <col customWidth="1" min="3" max="3" width="12.88"/>
    <col customWidth="1" min="4" max="4" width="18.0"/>
    <col customWidth="1" min="5" max="5" width="12.0"/>
    <col customWidth="1" min="6" max="6" width="13.25"/>
    <col customWidth="1" min="7" max="7" width="11.0"/>
    <col customWidth="1" min="8" max="8" width="12.88"/>
    <col customWidth="1" min="9" max="9" width="12.75"/>
    <col customWidth="1" min="10" max="10" width="10.25"/>
    <col customWidth="1" min="11" max="12" width="13.25"/>
    <col customWidth="1" min="13" max="13" width="14.25"/>
    <col customWidth="1" min="14" max="14" width="10.63"/>
    <col customWidth="1" min="15" max="15" width="15.13"/>
  </cols>
  <sheetData>
    <row r="1">
      <c r="A1" s="9"/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37</v>
      </c>
      <c r="O1" s="10" t="s">
        <v>38</v>
      </c>
    </row>
    <row r="2">
      <c r="D2" s="11">
        <v>1.0</v>
      </c>
      <c r="E2" s="12"/>
      <c r="F2" s="11">
        <v>200.0</v>
      </c>
      <c r="G2" s="11">
        <v>200.0</v>
      </c>
      <c r="H2" s="11">
        <v>70.0</v>
      </c>
      <c r="I2" s="11">
        <v>2200.0</v>
      </c>
      <c r="J2" s="13">
        <v>30.0</v>
      </c>
      <c r="K2" s="13">
        <v>1.5</v>
      </c>
      <c r="L2" s="13">
        <v>4000.0</v>
      </c>
      <c r="M2" s="13">
        <v>400.0</v>
      </c>
      <c r="N2" s="13">
        <v>13.0</v>
      </c>
      <c r="O2" s="13">
        <v>1000.0</v>
      </c>
    </row>
    <row r="4">
      <c r="D4" s="1" t="s">
        <v>39</v>
      </c>
      <c r="E4" s="1" t="s">
        <v>28</v>
      </c>
      <c r="F4" s="1" t="s">
        <v>40</v>
      </c>
      <c r="G4" s="1" t="s">
        <v>41</v>
      </c>
      <c r="H4" s="1" t="s">
        <v>42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47</v>
      </c>
      <c r="N4" s="1" t="s">
        <v>48</v>
      </c>
      <c r="O4" s="1" t="s">
        <v>49</v>
      </c>
    </row>
    <row r="5">
      <c r="D5" s="14">
        <f>IFERROR(I5/E5,0)</f>
        <v>1.07663351</v>
      </c>
      <c r="E5" s="15">
        <f>IFERROR(SUMPRODUCT(C8:C30,IF(D8:D30="g",1,E8:E30)),0)</f>
        <v>2005.65</v>
      </c>
      <c r="F5" s="16">
        <f t="shared" ref="F5:O5" si="1">IFERROR(SUM(F8:F30),0)</f>
        <v>224.54</v>
      </c>
      <c r="G5" s="16">
        <f t="shared" si="1"/>
        <v>175.9</v>
      </c>
      <c r="H5" s="16">
        <f t="shared" si="1"/>
        <v>65.45</v>
      </c>
      <c r="I5" s="16">
        <f t="shared" si="1"/>
        <v>2159.35</v>
      </c>
      <c r="J5" s="16">
        <f t="shared" si="1"/>
        <v>35.79</v>
      </c>
      <c r="K5" s="16">
        <f t="shared" si="1"/>
        <v>2.1125</v>
      </c>
      <c r="L5" s="17">
        <f t="shared" si="1"/>
        <v>4002.35</v>
      </c>
      <c r="M5" s="17">
        <f t="shared" si="1"/>
        <v>480.55</v>
      </c>
      <c r="N5" s="18">
        <f t="shared" si="1"/>
        <v>14.92</v>
      </c>
      <c r="O5" s="16">
        <f t="shared" si="1"/>
        <v>2164</v>
      </c>
    </row>
    <row r="7">
      <c r="A7" s="19" t="s">
        <v>50</v>
      </c>
      <c r="B7" s="19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 t="s">
        <v>57</v>
      </c>
      <c r="I7" s="19" t="s">
        <v>58</v>
      </c>
      <c r="J7" s="1" t="s">
        <v>59</v>
      </c>
      <c r="K7" s="1" t="s">
        <v>60</v>
      </c>
      <c r="L7" s="1" t="s">
        <v>61</v>
      </c>
      <c r="M7" s="1" t="s">
        <v>62</v>
      </c>
      <c r="N7" s="1" t="s">
        <v>63</v>
      </c>
      <c r="O7" s="1" t="s">
        <v>64</v>
      </c>
    </row>
    <row r="8">
      <c r="A8" s="20" t="s">
        <v>65</v>
      </c>
      <c r="B8" s="20" t="s">
        <v>66</v>
      </c>
      <c r="C8" s="20">
        <v>4.0</v>
      </c>
      <c r="D8" s="21" t="str">
        <f t="array" ref="D8:D30">IF(B8:B30="","",VLOOKUP(B8:B30,ALIMENTOS!A:G,2,FALSE))</f>
        <v>unidade</v>
      </c>
      <c r="E8" s="21">
        <f t="array" ref="E8:E30">IF(B8:B30="","",VLOOKUP(B8:B30,ALIMENTOS!A:G,3,FALSE))</f>
        <v>50</v>
      </c>
      <c r="F8" s="21">
        <f t="array" ref="F8:F30">IF(B8:B30="","",IF(D8:D30="g",(C8:C30/100)*VALUE(VLOOKUP(B8:B30,ALIMENTOS!A:G,4,FALSE)),C8:C30*VALUE(VLOOKUP(B8:B30,ALIMENTOS!A:G,4,FALSE))))</f>
        <v>24</v>
      </c>
      <c r="G8" s="21">
        <f t="array" ref="G8:G30">IF(B8:B30="","",IF(D8:D30="g",(C8:C30/100)*VALUE(VLOOKUP(B8:B30,ALIMENTOS!A:G,5,FALSE)),C8:C30*VALUE(VLOOKUP(B8:B30,ALIMENTOS!A:G,5,FALSE))))</f>
        <v>1.6</v>
      </c>
      <c r="H8" s="21">
        <f t="array" ref="H8:H30">IF(B8:B30="","",IF(D8:D30="g",(C8:C30/100)*VLOOKUP(B8:B30,ALIMENTOS!A:G,6,FALSE),C8:C30*VLOOKUP(B8:B30,ALIMENTOS!A:G,6,FALSE)))</f>
        <v>20</v>
      </c>
      <c r="I8" s="21">
        <f t="array" ref="I8:I30">IF(B8:B30="","",IF(D8:D30="g",(C8:C30/100)*VLOOKUP(B8:B30,ALIMENTOS!A:G,7,FALSE),C8:C30*VLOOKUP(B8:B30,ALIMENTOS!A:G,7,FALSE)))</f>
        <v>280</v>
      </c>
      <c r="J8" s="21">
        <f t="array" ref="J8:J30">IF(B8:B30="","",IF(D8:D30="g",(C8:C30/100)*VLOOKUP(B8:B30,ALIMENTOS!A:M,8,FALSE),C8:C30*VLOOKUP(B8:B30,ALIMENTOS!A:M,8,FALSE)))
</f>
        <v>0</v>
      </c>
      <c r="K8" s="21">
        <f t="array" ref="K8:K30">IF(B8:B30="","",IF(D8:D30="g",(C8:C30/100)*VLOOKUP(B8:B30,ALIMENTOS!A:M,9,FALSE),C8:C30*VLOOKUP(B8:B30,ALIMENTOS!A:M,9,FALSE)))
</f>
        <v>0.16</v>
      </c>
      <c r="L8" s="21">
        <f t="array" ref="L8:L30">IF(B8:B30="","",IF(D8:D30="g",(C8:C30/100)*VLOOKUP(B8:B30,ALIMENTOS!A:M,10,FALSE),C8:C30*VLOOKUP(B8:B30,ALIMENTOS!A:M,10,FALSE)))
</f>
        <v>252</v>
      </c>
      <c r="M8" s="21">
        <f t="array" ref="M8:M30">IF(B8:B30="","",IF(D8:D30="g",(C8:C30/100)*VLOOKUP(B8:B30,ALIMENTOS!A:M,11,FALSE),C8:C30*VLOOKUP(B8:B30,ALIMENTOS!A:M,11,FALSE)))
</f>
        <v>24</v>
      </c>
      <c r="N8" s="21">
        <f t="array" ref="N8:N30">IF(B8:B30="","",IF(D8:D30="g",(C8:C30/100)*VLOOKUP(B8:B30,ALIMENTOS!A:M,12,FALSE),C8:C30*VLOOKUP(B8:B30,ALIMENTOS!A:M,12,FALSE)))
</f>
        <v>2.4</v>
      </c>
      <c r="O8" s="21">
        <f t="array" ref="O8:O30">IF(B8:B30="","",IF(D8:D30="g",(C8:C30/100)*VLOOKUP(B8:B30,ALIMENTOS!A:M,13,FALSE),C8:C30*VLOOKUP(B8:B30,ALIMENTOS!A:M,13,FALSE)))
</f>
        <v>164</v>
      </c>
    </row>
    <row r="9">
      <c r="A9" s="20" t="s">
        <v>65</v>
      </c>
      <c r="B9" s="20" t="s">
        <v>67</v>
      </c>
      <c r="C9" s="20">
        <v>1.0</v>
      </c>
      <c r="D9" s="21" t="s">
        <v>68</v>
      </c>
      <c r="E9" s="21">
        <v>250.0</v>
      </c>
      <c r="F9" s="21">
        <v>7.9</v>
      </c>
      <c r="G9" s="21">
        <v>11.25</v>
      </c>
      <c r="H9" s="21">
        <v>2.5</v>
      </c>
      <c r="I9" s="21">
        <v>99.0</v>
      </c>
      <c r="J9" s="21">
        <v>0.0</v>
      </c>
      <c r="K9" s="21">
        <v>0.0</v>
      </c>
      <c r="L9" s="21">
        <v>0.0</v>
      </c>
      <c r="M9" s="21">
        <v>0.0</v>
      </c>
      <c r="N9" s="21">
        <v>0.0</v>
      </c>
      <c r="O9" s="21">
        <v>0.0</v>
      </c>
    </row>
    <row r="10">
      <c r="A10" s="20" t="s">
        <v>65</v>
      </c>
      <c r="B10" s="22" t="s">
        <v>69</v>
      </c>
      <c r="C10" s="20">
        <v>1.0</v>
      </c>
      <c r="D10" s="21" t="s">
        <v>70</v>
      </c>
      <c r="E10" s="21">
        <v>0.3</v>
      </c>
      <c r="F10" s="21">
        <v>0.0</v>
      </c>
      <c r="G10" s="21">
        <v>0.0</v>
      </c>
      <c r="H10" s="21">
        <v>0.0</v>
      </c>
      <c r="I10" s="21">
        <v>0.0</v>
      </c>
      <c r="J10" s="21">
        <v>0.0</v>
      </c>
      <c r="K10" s="21">
        <v>0.0</v>
      </c>
      <c r="L10" s="21">
        <v>0.0</v>
      </c>
      <c r="M10" s="21">
        <v>0.0</v>
      </c>
      <c r="N10" s="21">
        <v>0.0</v>
      </c>
      <c r="O10" s="21">
        <v>2000.0</v>
      </c>
    </row>
    <row r="11">
      <c r="A11" s="20" t="s">
        <v>65</v>
      </c>
      <c r="B11" s="20" t="s">
        <v>71</v>
      </c>
      <c r="C11" s="20">
        <v>3.0</v>
      </c>
      <c r="D11" s="21" t="s">
        <v>70</v>
      </c>
      <c r="E11" s="21">
        <v>1.45</v>
      </c>
      <c r="F11" s="21">
        <v>0.6900000000000001</v>
      </c>
      <c r="G11" s="21">
        <v>0.0</v>
      </c>
      <c r="H11" s="21">
        <v>3.0</v>
      </c>
      <c r="I11" s="21">
        <v>30.0</v>
      </c>
      <c r="J11" s="21">
        <v>0.0</v>
      </c>
      <c r="K11" s="21">
        <v>1.236</v>
      </c>
      <c r="L11" s="21">
        <v>0.0</v>
      </c>
      <c r="M11" s="21">
        <v>0.0</v>
      </c>
      <c r="N11" s="21">
        <v>0.0</v>
      </c>
      <c r="O11" s="21">
        <v>0.0</v>
      </c>
    </row>
    <row r="12">
      <c r="A12" s="20" t="s">
        <v>72</v>
      </c>
      <c r="B12" s="20" t="s">
        <v>67</v>
      </c>
      <c r="C12" s="20">
        <v>1.0</v>
      </c>
      <c r="D12" s="21" t="s">
        <v>68</v>
      </c>
      <c r="E12" s="21">
        <v>250.0</v>
      </c>
      <c r="F12" s="21">
        <v>7.9</v>
      </c>
      <c r="G12" s="21">
        <v>11.25</v>
      </c>
      <c r="H12" s="21">
        <v>2.5</v>
      </c>
      <c r="I12" s="21">
        <v>99.0</v>
      </c>
      <c r="J12" s="21">
        <v>0.0</v>
      </c>
      <c r="K12" s="21">
        <v>0.0</v>
      </c>
      <c r="L12" s="21">
        <v>0.0</v>
      </c>
      <c r="M12" s="21">
        <v>0.0</v>
      </c>
      <c r="N12" s="21">
        <v>0.0</v>
      </c>
      <c r="O12" s="21">
        <v>0.0</v>
      </c>
    </row>
    <row r="13">
      <c r="A13" s="20" t="s">
        <v>72</v>
      </c>
      <c r="B13" s="20" t="s">
        <v>73</v>
      </c>
      <c r="C13" s="20">
        <v>1.0</v>
      </c>
      <c r="D13" s="21" t="s">
        <v>74</v>
      </c>
      <c r="E13" s="21">
        <v>120.0</v>
      </c>
      <c r="F13" s="21">
        <v>1.3</v>
      </c>
      <c r="G13" s="21">
        <v>27.0</v>
      </c>
      <c r="H13" s="21">
        <v>0.3</v>
      </c>
      <c r="I13" s="21">
        <v>105.0</v>
      </c>
      <c r="J13" s="21">
        <v>3.1</v>
      </c>
      <c r="K13" s="21">
        <v>0.03</v>
      </c>
      <c r="L13" s="21">
        <v>358.0</v>
      </c>
      <c r="M13" s="21">
        <v>27.0</v>
      </c>
      <c r="N13" s="21">
        <v>0.15</v>
      </c>
      <c r="O13" s="21">
        <v>0.0</v>
      </c>
    </row>
    <row r="14">
      <c r="A14" s="20" t="s">
        <v>72</v>
      </c>
      <c r="B14" s="20" t="s">
        <v>75</v>
      </c>
      <c r="C14" s="20">
        <v>1.0</v>
      </c>
      <c r="D14" s="21" t="s">
        <v>76</v>
      </c>
      <c r="E14" s="21">
        <v>40.0</v>
      </c>
      <c r="F14" s="21">
        <v>32.0</v>
      </c>
      <c r="G14" s="21">
        <v>4.3</v>
      </c>
      <c r="H14" s="21">
        <v>2.7</v>
      </c>
      <c r="I14" s="21">
        <v>170.0</v>
      </c>
      <c r="J14" s="21">
        <v>0.0</v>
      </c>
      <c r="K14" s="21">
        <v>0.05</v>
      </c>
      <c r="L14" s="21">
        <v>160.0</v>
      </c>
      <c r="M14" s="21">
        <v>20.0</v>
      </c>
      <c r="N14" s="21">
        <v>2.0</v>
      </c>
      <c r="O14" s="21">
        <v>0.0</v>
      </c>
    </row>
    <row r="15">
      <c r="A15" s="20" t="s">
        <v>72</v>
      </c>
      <c r="B15" s="20" t="s">
        <v>77</v>
      </c>
      <c r="C15" s="20">
        <v>15.0</v>
      </c>
      <c r="D15" s="21" t="s">
        <v>78</v>
      </c>
      <c r="E15" s="21">
        <v>100.0</v>
      </c>
      <c r="F15" s="21">
        <v>2.55</v>
      </c>
      <c r="G15" s="21">
        <v>9.9</v>
      </c>
      <c r="H15" s="21">
        <v>1.05</v>
      </c>
      <c r="I15" s="21">
        <v>58.349999999999994</v>
      </c>
      <c r="J15" s="21">
        <v>1.5899999999999999</v>
      </c>
      <c r="K15" s="21">
        <v>0.0165</v>
      </c>
      <c r="L15" s="21">
        <v>64.35</v>
      </c>
      <c r="M15" s="21">
        <v>26.55</v>
      </c>
      <c r="N15" s="21">
        <v>0.54</v>
      </c>
      <c r="O15" s="21">
        <v>0.0</v>
      </c>
    </row>
    <row r="16">
      <c r="A16" s="20" t="s">
        <v>79</v>
      </c>
      <c r="B16" s="20" t="s">
        <v>80</v>
      </c>
      <c r="C16" s="20">
        <v>50.0</v>
      </c>
      <c r="D16" s="21" t="s">
        <v>78</v>
      </c>
      <c r="E16" s="21">
        <v>100.0</v>
      </c>
      <c r="F16" s="21">
        <v>1.35</v>
      </c>
      <c r="G16" s="21">
        <v>14.0</v>
      </c>
      <c r="H16" s="21">
        <v>0.15</v>
      </c>
      <c r="I16" s="21">
        <v>65.0</v>
      </c>
      <c r="J16" s="21">
        <v>0.2</v>
      </c>
      <c r="K16" s="21">
        <v>0.005</v>
      </c>
      <c r="L16" s="21">
        <v>17.5</v>
      </c>
      <c r="M16" s="21">
        <v>6.0</v>
      </c>
      <c r="N16" s="21">
        <v>0.245</v>
      </c>
      <c r="O16" s="21">
        <v>0.0</v>
      </c>
    </row>
    <row r="17">
      <c r="A17" s="20" t="s">
        <v>79</v>
      </c>
      <c r="B17" s="20" t="s">
        <v>81</v>
      </c>
      <c r="C17" s="20">
        <v>150.0</v>
      </c>
      <c r="D17" s="21" t="s">
        <v>78</v>
      </c>
      <c r="E17" s="21">
        <v>100.0</v>
      </c>
      <c r="F17" s="21">
        <v>13.350000000000001</v>
      </c>
      <c r="G17" s="21">
        <v>34.5</v>
      </c>
      <c r="H17" s="21">
        <v>0.75</v>
      </c>
      <c r="I17" s="21">
        <v>190.5</v>
      </c>
      <c r="J17" s="21">
        <v>12.75</v>
      </c>
      <c r="K17" s="21">
        <v>0.03</v>
      </c>
      <c r="L17" s="21">
        <v>532.5</v>
      </c>
      <c r="M17" s="21">
        <v>67.5</v>
      </c>
      <c r="N17" s="21">
        <v>1.7999999999999998</v>
      </c>
      <c r="O17" s="21">
        <v>0.0</v>
      </c>
    </row>
    <row r="18">
      <c r="A18" s="20" t="s">
        <v>79</v>
      </c>
      <c r="B18" s="20" t="s">
        <v>82</v>
      </c>
      <c r="C18" s="20">
        <v>250.0</v>
      </c>
      <c r="D18" s="21" t="s">
        <v>78</v>
      </c>
      <c r="E18" s="21">
        <v>100.0</v>
      </c>
      <c r="F18" s="21">
        <v>57.5</v>
      </c>
      <c r="G18" s="21">
        <v>0.0</v>
      </c>
      <c r="H18" s="21">
        <v>2.5</v>
      </c>
      <c r="I18" s="21">
        <v>252.5</v>
      </c>
      <c r="J18" s="21">
        <v>0.0</v>
      </c>
      <c r="K18" s="21">
        <v>0.1</v>
      </c>
      <c r="L18" s="21">
        <v>640.0</v>
      </c>
      <c r="M18" s="21">
        <v>72.5</v>
      </c>
      <c r="N18" s="21">
        <v>2.5</v>
      </c>
      <c r="O18" s="21">
        <v>0.0</v>
      </c>
    </row>
    <row r="19">
      <c r="A19" s="20" t="s">
        <v>79</v>
      </c>
      <c r="B19" s="20" t="s">
        <v>83</v>
      </c>
      <c r="C19" s="20">
        <v>50.0</v>
      </c>
      <c r="D19" s="21" t="s">
        <v>78</v>
      </c>
      <c r="E19" s="21">
        <v>100.0</v>
      </c>
      <c r="F19" s="21">
        <v>0.45</v>
      </c>
      <c r="G19" s="21">
        <v>5.0</v>
      </c>
      <c r="H19" s="21">
        <v>0.1</v>
      </c>
      <c r="I19" s="21">
        <v>20.5</v>
      </c>
      <c r="J19" s="21">
        <v>1.4</v>
      </c>
      <c r="K19" s="21">
        <v>0.005</v>
      </c>
      <c r="L19" s="21">
        <v>160.0</v>
      </c>
      <c r="M19" s="21">
        <v>6.0</v>
      </c>
      <c r="N19" s="21">
        <v>0.12</v>
      </c>
      <c r="O19" s="21">
        <v>0.0</v>
      </c>
    </row>
    <row r="20">
      <c r="A20" s="20" t="s">
        <v>79</v>
      </c>
      <c r="B20" s="20" t="s">
        <v>84</v>
      </c>
      <c r="C20" s="20">
        <v>50.0</v>
      </c>
      <c r="D20" s="21" t="s">
        <v>78</v>
      </c>
      <c r="E20" s="21">
        <v>100.0</v>
      </c>
      <c r="F20" s="21">
        <v>1.45</v>
      </c>
      <c r="G20" s="21">
        <v>1.8</v>
      </c>
      <c r="H20" s="21">
        <v>0.2</v>
      </c>
      <c r="I20" s="21">
        <v>11.5</v>
      </c>
      <c r="J20" s="21">
        <v>1.2</v>
      </c>
      <c r="K20" s="21">
        <v>0.07</v>
      </c>
      <c r="L20" s="21">
        <v>233.0</v>
      </c>
      <c r="M20" s="21">
        <v>39.5</v>
      </c>
      <c r="N20" s="21">
        <v>0.25</v>
      </c>
      <c r="O20" s="21">
        <v>0.0</v>
      </c>
    </row>
    <row r="21">
      <c r="A21" s="20" t="s">
        <v>79</v>
      </c>
      <c r="B21" s="20" t="s">
        <v>85</v>
      </c>
      <c r="C21" s="20">
        <v>1.0</v>
      </c>
      <c r="D21" s="21" t="s">
        <v>86</v>
      </c>
      <c r="E21" s="21">
        <v>13.0</v>
      </c>
      <c r="F21" s="21">
        <v>0.0</v>
      </c>
      <c r="G21" s="21">
        <v>0.0</v>
      </c>
      <c r="H21" s="21">
        <v>13.0</v>
      </c>
      <c r="I21" s="21">
        <v>119.0</v>
      </c>
      <c r="J21" s="21">
        <v>0.0</v>
      </c>
      <c r="K21" s="21">
        <v>0.1</v>
      </c>
      <c r="L21" s="21">
        <v>1.0</v>
      </c>
      <c r="M21" s="21">
        <v>0.0</v>
      </c>
      <c r="N21" s="21">
        <v>0.0</v>
      </c>
      <c r="O21" s="21">
        <v>0.0</v>
      </c>
    </row>
    <row r="22">
      <c r="A22" s="20" t="s">
        <v>87</v>
      </c>
      <c r="B22" s="20" t="s">
        <v>80</v>
      </c>
      <c r="C22" s="20">
        <v>50.0</v>
      </c>
      <c r="D22" s="21" t="s">
        <v>78</v>
      </c>
      <c r="E22" s="21">
        <v>100.0</v>
      </c>
      <c r="F22" s="21">
        <v>1.35</v>
      </c>
      <c r="G22" s="21">
        <v>14.0</v>
      </c>
      <c r="H22" s="21">
        <v>0.15</v>
      </c>
      <c r="I22" s="21">
        <v>65.0</v>
      </c>
      <c r="J22" s="21">
        <v>0.2</v>
      </c>
      <c r="K22" s="21">
        <v>0.005</v>
      </c>
      <c r="L22" s="21">
        <v>17.5</v>
      </c>
      <c r="M22" s="21">
        <v>6.0</v>
      </c>
      <c r="N22" s="21">
        <v>0.245</v>
      </c>
      <c r="O22" s="21">
        <v>0.0</v>
      </c>
    </row>
    <row r="23">
      <c r="A23" s="20" t="s">
        <v>87</v>
      </c>
      <c r="B23" s="20" t="s">
        <v>81</v>
      </c>
      <c r="C23" s="20">
        <v>150.0</v>
      </c>
      <c r="D23" s="21" t="s">
        <v>78</v>
      </c>
      <c r="E23" s="21">
        <v>100.0</v>
      </c>
      <c r="F23" s="21">
        <v>13.350000000000001</v>
      </c>
      <c r="G23" s="21">
        <v>34.5</v>
      </c>
      <c r="H23" s="21">
        <v>0.75</v>
      </c>
      <c r="I23" s="21">
        <v>190.5</v>
      </c>
      <c r="J23" s="21">
        <v>12.75</v>
      </c>
      <c r="K23" s="21">
        <v>0.03</v>
      </c>
      <c r="L23" s="21">
        <v>532.5</v>
      </c>
      <c r="M23" s="21">
        <v>67.5</v>
      </c>
      <c r="N23" s="21">
        <v>1.7999999999999998</v>
      </c>
      <c r="O23" s="21">
        <v>0.0</v>
      </c>
    </row>
    <row r="24">
      <c r="A24" s="20" t="s">
        <v>87</v>
      </c>
      <c r="B24" s="20" t="s">
        <v>82</v>
      </c>
      <c r="C24" s="20">
        <v>250.0</v>
      </c>
      <c r="D24" s="21" t="s">
        <v>78</v>
      </c>
      <c r="E24" s="21">
        <v>100.0</v>
      </c>
      <c r="F24" s="21">
        <v>57.5</v>
      </c>
      <c r="G24" s="21">
        <v>0.0</v>
      </c>
      <c r="H24" s="21">
        <v>2.5</v>
      </c>
      <c r="I24" s="21">
        <v>252.5</v>
      </c>
      <c r="J24" s="21">
        <v>0.0</v>
      </c>
      <c r="K24" s="21">
        <v>0.1</v>
      </c>
      <c r="L24" s="21">
        <v>640.0</v>
      </c>
      <c r="M24" s="21">
        <v>72.5</v>
      </c>
      <c r="N24" s="21">
        <v>2.5</v>
      </c>
      <c r="O24" s="21">
        <v>0.0</v>
      </c>
    </row>
    <row r="25">
      <c r="A25" s="20" t="s">
        <v>87</v>
      </c>
      <c r="B25" s="20" t="s">
        <v>83</v>
      </c>
      <c r="C25" s="20">
        <v>50.0</v>
      </c>
      <c r="D25" s="21" t="s">
        <v>78</v>
      </c>
      <c r="E25" s="21">
        <v>100.0</v>
      </c>
      <c r="F25" s="21">
        <v>0.45</v>
      </c>
      <c r="G25" s="21">
        <v>5.0</v>
      </c>
      <c r="H25" s="21">
        <v>0.1</v>
      </c>
      <c r="I25" s="21">
        <v>20.5</v>
      </c>
      <c r="J25" s="21">
        <v>1.4</v>
      </c>
      <c r="K25" s="21">
        <v>0.005</v>
      </c>
      <c r="L25" s="21">
        <v>160.0</v>
      </c>
      <c r="M25" s="21">
        <v>6.0</v>
      </c>
      <c r="N25" s="21">
        <v>0.12</v>
      </c>
      <c r="O25" s="21">
        <v>0.0</v>
      </c>
    </row>
    <row r="26">
      <c r="A26" s="20" t="s">
        <v>87</v>
      </c>
      <c r="B26" s="20" t="s">
        <v>84</v>
      </c>
      <c r="C26" s="20">
        <v>50.0</v>
      </c>
      <c r="D26" s="21" t="s">
        <v>78</v>
      </c>
      <c r="E26" s="21">
        <v>100.0</v>
      </c>
      <c r="F26" s="21">
        <v>1.45</v>
      </c>
      <c r="G26" s="21">
        <v>1.8</v>
      </c>
      <c r="H26" s="21">
        <v>0.2</v>
      </c>
      <c r="I26" s="21">
        <v>11.5</v>
      </c>
      <c r="J26" s="21">
        <v>1.2</v>
      </c>
      <c r="K26" s="21">
        <v>0.07</v>
      </c>
      <c r="L26" s="21">
        <v>233.0</v>
      </c>
      <c r="M26" s="21">
        <v>39.5</v>
      </c>
      <c r="N26" s="21">
        <v>0.25</v>
      </c>
      <c r="O26" s="21">
        <v>0.0</v>
      </c>
    </row>
    <row r="27">
      <c r="A27" s="23" t="s">
        <v>87</v>
      </c>
      <c r="B27" s="23" t="s">
        <v>85</v>
      </c>
      <c r="C27" s="23">
        <v>1.0</v>
      </c>
      <c r="D27" s="24" t="s">
        <v>86</v>
      </c>
      <c r="E27" s="24">
        <v>13.0</v>
      </c>
      <c r="F27" s="24">
        <v>0.0</v>
      </c>
      <c r="G27" s="24">
        <v>0.0</v>
      </c>
      <c r="H27" s="24">
        <v>13.0</v>
      </c>
      <c r="I27" s="24">
        <v>119.0</v>
      </c>
      <c r="J27" s="24">
        <v>0.0</v>
      </c>
      <c r="K27" s="24">
        <v>0.1</v>
      </c>
      <c r="L27" s="24">
        <v>1.0</v>
      </c>
      <c r="M27" s="24">
        <v>0.0</v>
      </c>
      <c r="N27" s="24">
        <v>0.0</v>
      </c>
      <c r="O27" s="24">
        <v>0.0</v>
      </c>
    </row>
    <row r="28">
      <c r="A28" s="25"/>
      <c r="B28" s="25"/>
      <c r="C28" s="25"/>
      <c r="D28" s="26" t="s">
        <v>88</v>
      </c>
      <c r="E28" s="26" t="s">
        <v>88</v>
      </c>
      <c r="F28" s="26" t="s">
        <v>88</v>
      </c>
      <c r="G28" s="26" t="s">
        <v>88</v>
      </c>
      <c r="H28" s="26" t="s">
        <v>88</v>
      </c>
      <c r="I28" s="26" t="s">
        <v>88</v>
      </c>
      <c r="J28" s="26" t="s">
        <v>88</v>
      </c>
      <c r="K28" s="26" t="s">
        <v>88</v>
      </c>
      <c r="L28" s="26" t="s">
        <v>88</v>
      </c>
      <c r="M28" s="26" t="s">
        <v>88</v>
      </c>
      <c r="N28" s="26" t="s">
        <v>88</v>
      </c>
      <c r="O28" s="26" t="s">
        <v>88</v>
      </c>
    </row>
    <row r="29">
      <c r="A29" s="25"/>
      <c r="B29" s="25"/>
      <c r="C29" s="25"/>
      <c r="D29" s="26" t="s">
        <v>88</v>
      </c>
      <c r="E29" s="26" t="s">
        <v>88</v>
      </c>
      <c r="F29" s="26" t="s">
        <v>88</v>
      </c>
      <c r="G29" s="26" t="s">
        <v>88</v>
      </c>
      <c r="H29" s="26" t="s">
        <v>88</v>
      </c>
      <c r="I29" s="26" t="s">
        <v>88</v>
      </c>
      <c r="J29" s="26" t="s">
        <v>88</v>
      </c>
      <c r="K29" s="26" t="s">
        <v>88</v>
      </c>
      <c r="L29" s="26" t="s">
        <v>88</v>
      </c>
      <c r="M29" s="26" t="s">
        <v>88</v>
      </c>
      <c r="N29" s="26" t="s">
        <v>88</v>
      </c>
      <c r="O29" s="26" t="s">
        <v>88</v>
      </c>
    </row>
    <row r="30">
      <c r="A30" s="25"/>
      <c r="B30" s="25"/>
      <c r="C30" s="25"/>
      <c r="D30" s="26" t="s">
        <v>88</v>
      </c>
      <c r="E30" s="26" t="s">
        <v>88</v>
      </c>
      <c r="F30" s="26" t="s">
        <v>88</v>
      </c>
      <c r="G30" s="26" t="s">
        <v>88</v>
      </c>
      <c r="H30" s="26" t="s">
        <v>88</v>
      </c>
      <c r="I30" s="26" t="s">
        <v>88</v>
      </c>
      <c r="J30" s="26" t="s">
        <v>88</v>
      </c>
      <c r="K30" s="26" t="s">
        <v>88</v>
      </c>
      <c r="L30" s="26" t="s">
        <v>88</v>
      </c>
      <c r="M30" s="26" t="s">
        <v>88</v>
      </c>
      <c r="N30" s="26" t="s">
        <v>88</v>
      </c>
      <c r="O30" s="26" t="s">
        <v>88</v>
      </c>
    </row>
  </sheetData>
  <mergeCells count="1">
    <mergeCell ref="A1:B5"/>
  </mergeCells>
  <conditionalFormatting sqref="L5">
    <cfRule type="expression" dxfId="2" priority="1">
      <formula>L5&lt;3000</formula>
    </cfRule>
  </conditionalFormatting>
  <conditionalFormatting sqref="L5">
    <cfRule type="expression" dxfId="1" priority="2">
      <formula>AND(L5&gt;=3000,L5&lt;=4700)</formula>
    </cfRule>
  </conditionalFormatting>
  <conditionalFormatting sqref="L5">
    <cfRule type="expression" dxfId="4" priority="3">
      <formula>L5&gt;4700</formula>
    </cfRule>
  </conditionalFormatting>
  <conditionalFormatting sqref="M5">
    <cfRule type="expression" dxfId="2" priority="4">
      <formula>M5&lt;350</formula>
    </cfRule>
  </conditionalFormatting>
  <conditionalFormatting sqref="M5">
    <cfRule type="expression" dxfId="1" priority="5">
      <formula>AND(M5&gt;=350,M5&lt;=450)</formula>
    </cfRule>
  </conditionalFormatting>
  <conditionalFormatting sqref="M5">
    <cfRule type="expression" dxfId="4" priority="6">
      <formula>M5&gt;450</formula>
    </cfRule>
  </conditionalFormatting>
  <conditionalFormatting sqref="N5">
    <cfRule type="expression" dxfId="2" priority="7">
      <formula>N5&lt;10</formula>
    </cfRule>
  </conditionalFormatting>
  <conditionalFormatting sqref="N5">
    <cfRule type="expression" dxfId="1" priority="8">
      <formula>AND(N5&gt;=10,N5&lt;=20)</formula>
    </cfRule>
  </conditionalFormatting>
  <conditionalFormatting sqref="N5">
    <cfRule type="expression" dxfId="4" priority="9">
      <formula>N5&gt;20</formula>
    </cfRule>
  </conditionalFormatting>
  <conditionalFormatting sqref="O5">
    <cfRule type="expression" dxfId="2" priority="10">
      <formula>O5&lt;600</formula>
    </cfRule>
  </conditionalFormatting>
  <conditionalFormatting sqref="O5">
    <cfRule type="expression" dxfId="1" priority="11">
      <formula>AND(O5&gt;=600,O5&lt;=1500)</formula>
    </cfRule>
  </conditionalFormatting>
  <conditionalFormatting sqref="O5">
    <cfRule type="expression" dxfId="4" priority="12">
      <formula>O5&gt;1500</formula>
    </cfRule>
  </conditionalFormatting>
  <conditionalFormatting sqref="I5">
    <cfRule type="expression" dxfId="2" priority="13">
      <formula>AND($I5&lt;&gt;"",$I5&lt;2100)</formula>
    </cfRule>
  </conditionalFormatting>
  <conditionalFormatting sqref="I5">
    <cfRule type="expression" dxfId="1" priority="14">
      <formula>AND($I5&gt;=2100,$I5&lt;=2300)</formula>
    </cfRule>
  </conditionalFormatting>
  <conditionalFormatting sqref="I5">
    <cfRule type="expression" dxfId="4" priority="15">
      <formula>AND($I5&lt;&gt;"",$I5&gt;2300)</formula>
    </cfRule>
  </conditionalFormatting>
  <conditionalFormatting sqref="H5">
    <cfRule type="expression" dxfId="2" priority="16">
      <formula>AND($H5&lt;&gt;"",$H5&lt;60)</formula>
    </cfRule>
  </conditionalFormatting>
  <conditionalFormatting sqref="H5">
    <cfRule type="expression" dxfId="1" priority="17">
      <formula>AND($H5&gt;=60,$H5&lt;=80)</formula>
    </cfRule>
  </conditionalFormatting>
  <conditionalFormatting sqref="H5">
    <cfRule type="expression" dxfId="4" priority="18">
      <formula>AND($H5&lt;&gt;"",$H5&gt;80)</formula>
    </cfRule>
  </conditionalFormatting>
  <conditionalFormatting sqref="G5">
    <cfRule type="expression" dxfId="2" priority="19">
      <formula>AND($G5&lt;&gt;"",$G5&lt;170)</formula>
    </cfRule>
  </conditionalFormatting>
  <conditionalFormatting sqref="G5">
    <cfRule type="expression" dxfId="1" priority="20">
      <formula>AND($G5&gt;=170,$G5&lt;=220)</formula>
    </cfRule>
  </conditionalFormatting>
  <conditionalFormatting sqref="G5">
    <cfRule type="expression" dxfId="4" priority="21">
      <formula>AND($G5&lt;&gt;"",$G5&gt;220)</formula>
    </cfRule>
  </conditionalFormatting>
  <conditionalFormatting sqref="F5">
    <cfRule type="expression" dxfId="2" priority="22">
      <formula>AND($F5&lt;&gt;"",$F5&lt;180)</formula>
    </cfRule>
  </conditionalFormatting>
  <conditionalFormatting sqref="F5">
    <cfRule type="expression" dxfId="1" priority="23">
      <formula>AND($F5&gt;=180,$F5&lt;=220)</formula>
    </cfRule>
  </conditionalFormatting>
  <conditionalFormatting sqref="F5">
    <cfRule type="expression" dxfId="4" priority="24">
      <formula>AND($F5&lt;&gt;"",$F5&gt;220)</formula>
    </cfRule>
  </conditionalFormatting>
  <conditionalFormatting sqref="D5">
    <cfRule type="expression" dxfId="1" priority="25">
      <formula>AND($D5&gt;=0.5,$D5&lt;=1.2)</formula>
    </cfRule>
  </conditionalFormatting>
  <conditionalFormatting sqref="D5">
    <cfRule type="expression" dxfId="5" priority="26">
      <formula>AND($D5&gt;1.2,$D5&lt;=2)</formula>
    </cfRule>
  </conditionalFormatting>
  <conditionalFormatting sqref="D5">
    <cfRule type="expression" dxfId="4" priority="27">
      <formula>AND($D5&gt;2,$D5&lt;=4)</formula>
    </cfRule>
  </conditionalFormatting>
  <conditionalFormatting sqref="J5">
    <cfRule type="expression" dxfId="2" priority="28">
      <formula>J5&lt;25</formula>
    </cfRule>
  </conditionalFormatting>
  <conditionalFormatting sqref="J5">
    <cfRule type="expression" dxfId="1" priority="29">
      <formula>AND(J5&gt;=25,J5&lt;=45)</formula>
    </cfRule>
  </conditionalFormatting>
  <conditionalFormatting sqref="J5">
    <cfRule type="expression" dxfId="4" priority="30">
      <formula>J5&gt;45</formula>
    </cfRule>
  </conditionalFormatting>
  <conditionalFormatting sqref="K5">
    <cfRule type="expression" dxfId="2" priority="31">
      <formula>K5&lt;1</formula>
    </cfRule>
  </conditionalFormatting>
  <conditionalFormatting sqref="K5">
    <cfRule type="expression" dxfId="1" priority="32">
      <formula>AND(K5&gt;=1,K5&lt;=3)</formula>
    </cfRule>
  </conditionalFormatting>
  <conditionalFormatting sqref="K5">
    <cfRule type="expression" dxfId="4" priority="33">
      <formula>K5&gt;3</formula>
    </cfRule>
  </conditionalFormatting>
  <dataValidations>
    <dataValidation type="list" allowBlank="1" showErrorMessage="1" sqref="A8:A30">
      <formula1>"Café,Almoço,Janta,Lanche"</formula1>
    </dataValidation>
    <dataValidation type="list" allowBlank="1" showErrorMessage="1" sqref="B8:B9 B11:B30">
      <formula1>ALIMENTOS!$A$2:$A$54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2" max="2" width="8.38"/>
    <col customWidth="1" min="3" max="3" width="15.13"/>
    <col customWidth="1" min="4" max="4" width="10.38"/>
    <col customWidth="1" min="5" max="5" width="8.13"/>
    <col customWidth="1" min="6" max="6" width="10.0"/>
    <col customWidth="1" min="7" max="7" width="8.0"/>
    <col customWidth="1" min="8" max="8" width="7.38"/>
    <col customWidth="1" min="9" max="9" width="9.5"/>
    <col customWidth="1" min="10" max="10" width="11.38"/>
    <col customWidth="1" min="11" max="11" width="12.13"/>
    <col customWidth="1" min="12" max="12" width="9.63"/>
    <col customWidth="1" min="13" max="13" width="12.88"/>
  </cols>
  <sheetData>
    <row r="1">
      <c r="A1" s="1" t="s">
        <v>51</v>
      </c>
      <c r="B1" s="1" t="s">
        <v>89</v>
      </c>
      <c r="C1" s="1" t="s">
        <v>90</v>
      </c>
      <c r="D1" s="1" t="s">
        <v>91</v>
      </c>
      <c r="E1" s="27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64</v>
      </c>
    </row>
    <row r="2">
      <c r="A2" s="4" t="s">
        <v>66</v>
      </c>
      <c r="B2" s="4" t="s">
        <v>74</v>
      </c>
      <c r="C2" s="28">
        <v>50.0</v>
      </c>
      <c r="D2" s="28">
        <v>6.0</v>
      </c>
      <c r="E2" s="28">
        <v>0.4</v>
      </c>
      <c r="F2" s="28">
        <v>5.0</v>
      </c>
      <c r="G2" s="28">
        <v>70.0</v>
      </c>
      <c r="H2" s="4">
        <v>0.0</v>
      </c>
      <c r="I2" s="4">
        <v>0.04</v>
      </c>
      <c r="J2" s="4">
        <v>63.0</v>
      </c>
      <c r="K2" s="4">
        <v>6.0</v>
      </c>
      <c r="L2" s="4">
        <v>0.6</v>
      </c>
      <c r="M2" s="4">
        <v>41.0</v>
      </c>
    </row>
    <row r="3">
      <c r="A3" s="4" t="s">
        <v>92</v>
      </c>
      <c r="B3" s="4" t="s">
        <v>74</v>
      </c>
      <c r="C3" s="28">
        <v>33.0</v>
      </c>
      <c r="D3" s="28">
        <v>3.6</v>
      </c>
      <c r="E3" s="28">
        <v>0.2</v>
      </c>
      <c r="F3" s="28">
        <v>0.0</v>
      </c>
      <c r="G3" s="28">
        <v>17.0</v>
      </c>
      <c r="H3" s="4">
        <v>0.0</v>
      </c>
      <c r="I3" s="4">
        <v>0.0</v>
      </c>
      <c r="J3" s="4">
        <v>54.0</v>
      </c>
      <c r="K3" s="4">
        <v>4.0</v>
      </c>
      <c r="L3" s="4">
        <v>0.02</v>
      </c>
      <c r="M3" s="4">
        <v>0.0</v>
      </c>
    </row>
    <row r="4">
      <c r="A4" s="4" t="s">
        <v>93</v>
      </c>
      <c r="B4" s="4" t="s">
        <v>74</v>
      </c>
      <c r="C4" s="28">
        <v>50.0</v>
      </c>
      <c r="D4" s="28">
        <v>6.5</v>
      </c>
      <c r="E4" s="28">
        <v>0.55</v>
      </c>
      <c r="F4" s="28">
        <v>5.5</v>
      </c>
      <c r="G4" s="28">
        <v>78.0</v>
      </c>
      <c r="H4" s="4">
        <v>0.0</v>
      </c>
      <c r="I4" s="4">
        <v>0.04</v>
      </c>
      <c r="J4" s="4">
        <v>65.0</v>
      </c>
      <c r="K4" s="4">
        <v>6.0</v>
      </c>
      <c r="L4" s="4">
        <v>0.6</v>
      </c>
      <c r="M4" s="4">
        <v>41.0</v>
      </c>
    </row>
    <row r="5">
      <c r="A5" s="4" t="s">
        <v>94</v>
      </c>
      <c r="B5" s="4" t="s">
        <v>74</v>
      </c>
      <c r="C5" s="28">
        <v>50.0</v>
      </c>
      <c r="D5" s="28">
        <v>6.3</v>
      </c>
      <c r="E5" s="28">
        <v>0.6</v>
      </c>
      <c r="F5" s="28">
        <v>5.3</v>
      </c>
      <c r="G5" s="28">
        <v>78.0</v>
      </c>
      <c r="H5" s="4">
        <v>0.0</v>
      </c>
      <c r="I5" s="4">
        <v>0.04</v>
      </c>
      <c r="J5" s="4">
        <v>63.0</v>
      </c>
      <c r="K5" s="4">
        <v>6.0</v>
      </c>
      <c r="L5" s="4">
        <v>0.6</v>
      </c>
      <c r="M5" s="4">
        <v>41.0</v>
      </c>
    </row>
    <row r="6">
      <c r="A6" s="4" t="s">
        <v>73</v>
      </c>
      <c r="B6" s="4" t="s">
        <v>74</v>
      </c>
      <c r="C6" s="28">
        <v>120.0</v>
      </c>
      <c r="D6" s="28">
        <v>1.3</v>
      </c>
      <c r="E6" s="28">
        <v>27.0</v>
      </c>
      <c r="F6" s="28">
        <v>0.3</v>
      </c>
      <c r="G6" s="28">
        <v>105.0</v>
      </c>
      <c r="H6" s="4">
        <v>3.1</v>
      </c>
      <c r="I6" s="4">
        <v>0.03</v>
      </c>
      <c r="J6" s="4">
        <v>358.0</v>
      </c>
      <c r="K6" s="4">
        <v>27.0</v>
      </c>
      <c r="L6" s="4">
        <v>0.15</v>
      </c>
      <c r="M6" s="4">
        <v>0.0</v>
      </c>
    </row>
    <row r="7">
      <c r="A7" s="4" t="s">
        <v>95</v>
      </c>
      <c r="B7" s="4" t="s">
        <v>74</v>
      </c>
      <c r="C7" s="28">
        <v>180.0</v>
      </c>
      <c r="D7" s="28">
        <v>0.5</v>
      </c>
      <c r="E7" s="28">
        <v>25.0</v>
      </c>
      <c r="F7" s="28">
        <v>0.3</v>
      </c>
      <c r="G7" s="28">
        <v>95.0</v>
      </c>
      <c r="H7" s="4">
        <v>2.4</v>
      </c>
      <c r="I7" s="4">
        <v>0.01</v>
      </c>
      <c r="J7" s="4">
        <v>107.0</v>
      </c>
      <c r="K7" s="4">
        <v>5.0</v>
      </c>
      <c r="L7" s="4">
        <v>0.04</v>
      </c>
      <c r="M7" s="4">
        <v>0.0</v>
      </c>
    </row>
    <row r="8">
      <c r="A8" s="4" t="s">
        <v>96</v>
      </c>
      <c r="B8" s="4" t="s">
        <v>74</v>
      </c>
      <c r="C8" s="28">
        <v>50.0</v>
      </c>
      <c r="D8" s="28">
        <v>4.5</v>
      </c>
      <c r="E8" s="28">
        <v>28.0</v>
      </c>
      <c r="F8" s="28">
        <v>1.5</v>
      </c>
      <c r="G8" s="28">
        <v>135.0</v>
      </c>
      <c r="H8" s="4">
        <v>1.5</v>
      </c>
      <c r="I8" s="4">
        <v>0.01</v>
      </c>
      <c r="J8" s="4">
        <v>70.0</v>
      </c>
      <c r="K8" s="4">
        <v>15.0</v>
      </c>
      <c r="L8" s="4">
        <v>0.7</v>
      </c>
      <c r="M8" s="4">
        <v>0.0</v>
      </c>
    </row>
    <row r="9">
      <c r="A9" s="4" t="s">
        <v>97</v>
      </c>
      <c r="B9" s="4" t="s">
        <v>74</v>
      </c>
      <c r="C9" s="28">
        <v>25.0</v>
      </c>
      <c r="D9" s="28">
        <v>2.5</v>
      </c>
      <c r="E9" s="28">
        <v>12.0</v>
      </c>
      <c r="F9" s="28">
        <v>1.0</v>
      </c>
      <c r="G9" s="28">
        <v>65.0</v>
      </c>
      <c r="H9" s="4">
        <v>1.2</v>
      </c>
      <c r="I9" s="4">
        <v>0.01</v>
      </c>
      <c r="J9" s="4">
        <v>35.0</v>
      </c>
      <c r="K9" s="4">
        <v>10.0</v>
      </c>
      <c r="L9" s="4">
        <v>0.4</v>
      </c>
      <c r="M9" s="4">
        <v>0.0</v>
      </c>
    </row>
    <row r="10">
      <c r="A10" s="4" t="s">
        <v>80</v>
      </c>
      <c r="B10" s="4" t="s">
        <v>78</v>
      </c>
      <c r="C10" s="28">
        <v>100.0</v>
      </c>
      <c r="D10" s="28">
        <v>2.7</v>
      </c>
      <c r="E10" s="28">
        <v>28.0</v>
      </c>
      <c r="F10" s="28">
        <v>0.3</v>
      </c>
      <c r="G10" s="28">
        <v>130.0</v>
      </c>
      <c r="H10" s="4">
        <v>0.4</v>
      </c>
      <c r="I10" s="4">
        <v>0.01</v>
      </c>
      <c r="J10" s="4">
        <v>35.0</v>
      </c>
      <c r="K10" s="4">
        <v>12.0</v>
      </c>
      <c r="L10" s="4">
        <v>0.49</v>
      </c>
      <c r="M10" s="4">
        <v>0.0</v>
      </c>
    </row>
    <row r="11">
      <c r="A11" s="4" t="s">
        <v>98</v>
      </c>
      <c r="B11" s="4" t="s">
        <v>78</v>
      </c>
      <c r="C11" s="28">
        <v>100.0</v>
      </c>
      <c r="D11" s="28">
        <v>2.6</v>
      </c>
      <c r="E11" s="28">
        <v>23.0</v>
      </c>
      <c r="F11" s="28">
        <v>0.9</v>
      </c>
      <c r="G11" s="28">
        <v>111.0</v>
      </c>
      <c r="H11" s="4">
        <v>1.8</v>
      </c>
      <c r="I11" s="4">
        <v>0.02</v>
      </c>
      <c r="J11" s="4">
        <v>86.0</v>
      </c>
      <c r="K11" s="4">
        <v>44.0</v>
      </c>
      <c r="L11" s="4">
        <v>0.77</v>
      </c>
      <c r="M11" s="4">
        <v>0.0</v>
      </c>
    </row>
    <row r="12">
      <c r="A12" s="4" t="s">
        <v>81</v>
      </c>
      <c r="B12" s="4" t="s">
        <v>78</v>
      </c>
      <c r="C12" s="28">
        <v>100.0</v>
      </c>
      <c r="D12" s="28">
        <v>8.9</v>
      </c>
      <c r="E12" s="28">
        <v>23.0</v>
      </c>
      <c r="F12" s="28">
        <v>0.5</v>
      </c>
      <c r="G12" s="28">
        <v>127.0</v>
      </c>
      <c r="H12" s="4">
        <v>8.5</v>
      </c>
      <c r="I12" s="4">
        <v>0.02</v>
      </c>
      <c r="J12" s="4">
        <v>355.0</v>
      </c>
      <c r="K12" s="4">
        <v>45.0</v>
      </c>
      <c r="L12" s="4">
        <v>1.2</v>
      </c>
      <c r="M12" s="4">
        <v>0.0</v>
      </c>
    </row>
    <row r="13">
      <c r="A13" s="4" t="s">
        <v>99</v>
      </c>
      <c r="B13" s="4" t="s">
        <v>78</v>
      </c>
      <c r="C13" s="28">
        <v>100.0</v>
      </c>
      <c r="D13" s="28">
        <v>8.5</v>
      </c>
      <c r="E13" s="28">
        <v>23.0</v>
      </c>
      <c r="F13" s="28">
        <v>0.6</v>
      </c>
      <c r="G13" s="28">
        <v>132.0</v>
      </c>
      <c r="H13" s="4">
        <v>8.7</v>
      </c>
      <c r="I13" s="4">
        <v>0.02</v>
      </c>
      <c r="J13" s="4">
        <v>355.0</v>
      </c>
      <c r="K13" s="4">
        <v>70.0</v>
      </c>
      <c r="L13" s="4">
        <v>1.1</v>
      </c>
      <c r="M13" s="4">
        <v>0.0</v>
      </c>
    </row>
    <row r="14">
      <c r="A14" s="4" t="s">
        <v>100</v>
      </c>
      <c r="B14" s="4" t="s">
        <v>78</v>
      </c>
      <c r="C14" s="28">
        <v>100.0</v>
      </c>
      <c r="D14" s="28">
        <v>9.0</v>
      </c>
      <c r="E14" s="28">
        <v>20.0</v>
      </c>
      <c r="F14" s="28">
        <v>0.4</v>
      </c>
      <c r="G14" s="28">
        <v>116.0</v>
      </c>
      <c r="H14" s="4">
        <v>7.9</v>
      </c>
      <c r="I14" s="4">
        <v>0.02</v>
      </c>
      <c r="J14" s="4">
        <v>369.0</v>
      </c>
      <c r="K14" s="4">
        <v>36.0</v>
      </c>
      <c r="L14" s="4">
        <v>1.3</v>
      </c>
      <c r="M14" s="4">
        <v>0.0</v>
      </c>
    </row>
    <row r="15">
      <c r="A15" s="4" t="s">
        <v>101</v>
      </c>
      <c r="B15" s="4" t="s">
        <v>78</v>
      </c>
      <c r="C15" s="28">
        <v>100.0</v>
      </c>
      <c r="D15" s="28">
        <v>8.9</v>
      </c>
      <c r="E15" s="28">
        <v>27.0</v>
      </c>
      <c r="F15" s="28">
        <v>2.6</v>
      </c>
      <c r="G15" s="28">
        <v>164.0</v>
      </c>
      <c r="H15" s="4">
        <v>7.6</v>
      </c>
      <c r="I15" s="4">
        <v>0.05</v>
      </c>
      <c r="J15" s="4">
        <v>291.0</v>
      </c>
      <c r="K15" s="4">
        <v>48.0</v>
      </c>
      <c r="L15" s="4">
        <v>1.5</v>
      </c>
      <c r="M15" s="4">
        <v>0.0</v>
      </c>
    </row>
    <row r="16">
      <c r="A16" s="4" t="s">
        <v>102</v>
      </c>
      <c r="B16" s="4" t="s">
        <v>78</v>
      </c>
      <c r="C16" s="28">
        <v>100.0</v>
      </c>
      <c r="D16" s="28">
        <v>5.0</v>
      </c>
      <c r="E16" s="28">
        <v>25.0</v>
      </c>
      <c r="F16" s="28">
        <v>1.1</v>
      </c>
      <c r="G16" s="28">
        <v>131.0</v>
      </c>
      <c r="H16" s="4">
        <v>1.3</v>
      </c>
      <c r="I16" s="4">
        <v>0.01</v>
      </c>
      <c r="J16" s="4">
        <v>44.0</v>
      </c>
      <c r="K16" s="4">
        <v>18.0</v>
      </c>
      <c r="L16" s="4">
        <v>0.5</v>
      </c>
      <c r="M16" s="4">
        <v>0.0</v>
      </c>
    </row>
    <row r="17">
      <c r="A17" s="4" t="s">
        <v>103</v>
      </c>
      <c r="B17" s="4" t="s">
        <v>78</v>
      </c>
      <c r="C17" s="28">
        <v>100.0</v>
      </c>
      <c r="D17" s="28">
        <v>2.0</v>
      </c>
      <c r="E17" s="28">
        <v>20.0</v>
      </c>
      <c r="F17" s="28">
        <v>0.1</v>
      </c>
      <c r="G17" s="28">
        <v>87.0</v>
      </c>
      <c r="H17" s="4">
        <v>1.8</v>
      </c>
      <c r="I17" s="4">
        <v>0.01</v>
      </c>
      <c r="J17" s="4">
        <v>379.0</v>
      </c>
      <c r="K17" s="4">
        <v>23.0</v>
      </c>
      <c r="L17" s="4">
        <v>0.3</v>
      </c>
      <c r="M17" s="4">
        <v>0.0</v>
      </c>
    </row>
    <row r="18">
      <c r="A18" s="4" t="s">
        <v>104</v>
      </c>
      <c r="B18" s="4" t="s">
        <v>78</v>
      </c>
      <c r="C18" s="28">
        <v>100.0</v>
      </c>
      <c r="D18" s="28">
        <v>1.6</v>
      </c>
      <c r="E18" s="28">
        <v>20.0</v>
      </c>
      <c r="F18" s="28">
        <v>0.1</v>
      </c>
      <c r="G18" s="28">
        <v>86.0</v>
      </c>
      <c r="H18" s="4">
        <v>3.0</v>
      </c>
      <c r="I18" s="4">
        <v>0.01</v>
      </c>
      <c r="J18" s="4">
        <v>337.0</v>
      </c>
      <c r="K18" s="4">
        <v>25.0</v>
      </c>
      <c r="L18" s="4">
        <v>0.3</v>
      </c>
      <c r="M18" s="4">
        <v>0.0</v>
      </c>
    </row>
    <row r="19">
      <c r="A19" s="4" t="s">
        <v>77</v>
      </c>
      <c r="B19" s="4" t="s">
        <v>78</v>
      </c>
      <c r="C19" s="28">
        <v>100.0</v>
      </c>
      <c r="D19" s="28">
        <v>17.0</v>
      </c>
      <c r="E19" s="28">
        <v>66.0</v>
      </c>
      <c r="F19" s="28">
        <v>7.0</v>
      </c>
      <c r="G19" s="28">
        <v>389.0</v>
      </c>
      <c r="H19" s="4">
        <v>10.6</v>
      </c>
      <c r="I19" s="4">
        <v>0.11</v>
      </c>
      <c r="J19" s="4">
        <v>429.0</v>
      </c>
      <c r="K19" s="4">
        <v>177.0</v>
      </c>
      <c r="L19" s="4">
        <v>3.6</v>
      </c>
      <c r="M19" s="4">
        <v>0.0</v>
      </c>
    </row>
    <row r="20">
      <c r="A20" s="4" t="s">
        <v>105</v>
      </c>
      <c r="B20" s="4" t="s">
        <v>78</v>
      </c>
      <c r="C20" s="28">
        <v>100.0</v>
      </c>
      <c r="D20" s="28">
        <v>15.0</v>
      </c>
      <c r="E20" s="28">
        <v>66.0</v>
      </c>
      <c r="F20" s="28">
        <v>7.0</v>
      </c>
      <c r="G20" s="28">
        <v>380.0</v>
      </c>
      <c r="H20" s="4">
        <v>9.0</v>
      </c>
      <c r="I20" s="4">
        <v>0.1</v>
      </c>
      <c r="J20" s="4">
        <v>350.0</v>
      </c>
      <c r="K20" s="4">
        <v>140.0</v>
      </c>
      <c r="L20" s="4">
        <v>3.0</v>
      </c>
      <c r="M20" s="4">
        <v>0.0</v>
      </c>
    </row>
    <row r="21">
      <c r="A21" s="4" t="s">
        <v>106</v>
      </c>
      <c r="B21" s="4" t="s">
        <v>78</v>
      </c>
      <c r="C21" s="28">
        <v>100.0</v>
      </c>
      <c r="D21" s="28">
        <v>26.0</v>
      </c>
      <c r="E21" s="28">
        <v>0.0</v>
      </c>
      <c r="F21" s="28">
        <v>15.0</v>
      </c>
      <c r="G21" s="28">
        <v>250.0</v>
      </c>
      <c r="H21" s="4">
        <v>0.0</v>
      </c>
      <c r="I21" s="4">
        <v>0.04</v>
      </c>
      <c r="J21" s="4">
        <v>318.0</v>
      </c>
      <c r="K21" s="4">
        <v>21.0</v>
      </c>
      <c r="L21" s="4">
        <v>4.8</v>
      </c>
      <c r="M21" s="4">
        <v>7.0</v>
      </c>
    </row>
    <row r="22">
      <c r="A22" s="4" t="s">
        <v>107</v>
      </c>
      <c r="B22" s="4" t="s">
        <v>78</v>
      </c>
      <c r="C22" s="28">
        <v>100.0</v>
      </c>
      <c r="D22" s="28">
        <v>26.0</v>
      </c>
      <c r="E22" s="28">
        <v>0.0</v>
      </c>
      <c r="F22" s="28">
        <v>20.0</v>
      </c>
      <c r="G22" s="28">
        <v>290.0</v>
      </c>
      <c r="H22" s="4">
        <v>0.0</v>
      </c>
      <c r="I22" s="4">
        <v>0.04</v>
      </c>
      <c r="J22" s="4">
        <v>315.0</v>
      </c>
      <c r="K22" s="4">
        <v>20.0</v>
      </c>
      <c r="L22" s="4">
        <v>5.0</v>
      </c>
      <c r="M22" s="4">
        <v>7.0</v>
      </c>
    </row>
    <row r="23">
      <c r="A23" s="4" t="s">
        <v>108</v>
      </c>
      <c r="B23" s="4" t="s">
        <v>68</v>
      </c>
      <c r="C23" s="28">
        <v>1.0</v>
      </c>
      <c r="D23" s="28">
        <v>6.6</v>
      </c>
      <c r="E23" s="28">
        <v>10.0</v>
      </c>
      <c r="F23" s="28">
        <v>6.6</v>
      </c>
      <c r="G23" s="28">
        <v>122.0</v>
      </c>
      <c r="H23" s="4">
        <v>0.0</v>
      </c>
      <c r="I23" s="4">
        <v>0.01</v>
      </c>
      <c r="J23" s="4">
        <v>322.0</v>
      </c>
      <c r="K23" s="4">
        <v>24.0</v>
      </c>
      <c r="L23" s="4">
        <v>0.9</v>
      </c>
      <c r="M23" s="4">
        <v>49.0</v>
      </c>
    </row>
    <row r="24">
      <c r="A24" s="4" t="s">
        <v>109</v>
      </c>
      <c r="B24" s="4" t="s">
        <v>68</v>
      </c>
      <c r="C24" s="28">
        <v>1.0</v>
      </c>
      <c r="D24" s="28">
        <v>8.5</v>
      </c>
      <c r="E24" s="28">
        <v>12.5</v>
      </c>
      <c r="F24" s="28">
        <v>0.25</v>
      </c>
      <c r="G24" s="28">
        <v>85.0</v>
      </c>
      <c r="H24" s="4">
        <v>0.0</v>
      </c>
      <c r="I24" s="4">
        <v>0.025</v>
      </c>
      <c r="J24" s="4">
        <v>375.0</v>
      </c>
      <c r="K24" s="4">
        <v>25.0</v>
      </c>
      <c r="L24" s="4">
        <v>1.0</v>
      </c>
      <c r="M24" s="4">
        <v>100.0</v>
      </c>
    </row>
    <row r="25">
      <c r="A25" s="4" t="s">
        <v>110</v>
      </c>
      <c r="B25" s="4" t="s">
        <v>111</v>
      </c>
      <c r="C25" s="28">
        <v>170.0</v>
      </c>
      <c r="D25" s="28">
        <v>6.0</v>
      </c>
      <c r="E25" s="28">
        <v>8.0</v>
      </c>
      <c r="F25" s="28">
        <v>3.0</v>
      </c>
      <c r="G25" s="28">
        <v>100.0</v>
      </c>
      <c r="H25" s="4">
        <v>0.0</v>
      </c>
      <c r="I25" s="4">
        <v>0.02</v>
      </c>
      <c r="J25" s="4">
        <v>255.0</v>
      </c>
      <c r="K25" s="4">
        <v>19.0</v>
      </c>
      <c r="L25" s="4">
        <v>0.9</v>
      </c>
      <c r="M25" s="4">
        <v>80.0</v>
      </c>
    </row>
    <row r="26">
      <c r="A26" s="4" t="s">
        <v>112</v>
      </c>
      <c r="B26" s="4" t="s">
        <v>78</v>
      </c>
      <c r="C26" s="28">
        <v>100.0</v>
      </c>
      <c r="D26" s="28">
        <v>22.0</v>
      </c>
      <c r="E26" s="28">
        <v>2.2</v>
      </c>
      <c r="F26" s="28">
        <v>22.0</v>
      </c>
      <c r="G26" s="28">
        <v>280.0</v>
      </c>
      <c r="H26" s="4">
        <v>0.0</v>
      </c>
      <c r="I26" s="4">
        <v>0.04</v>
      </c>
      <c r="J26" s="4">
        <v>138.0</v>
      </c>
      <c r="K26" s="4">
        <v>28.0</v>
      </c>
      <c r="L26" s="4">
        <v>3.1</v>
      </c>
      <c r="M26" s="4">
        <v>20.0</v>
      </c>
    </row>
    <row r="27">
      <c r="A27" s="4" t="s">
        <v>113</v>
      </c>
      <c r="B27" s="4" t="s">
        <v>78</v>
      </c>
      <c r="C27" s="28">
        <v>100.0</v>
      </c>
      <c r="D27" s="28">
        <v>17.0</v>
      </c>
      <c r="E27" s="28">
        <v>3.0</v>
      </c>
      <c r="F27" s="28">
        <v>20.0</v>
      </c>
      <c r="G27" s="28">
        <v>264.0</v>
      </c>
      <c r="H27" s="4">
        <v>0.0</v>
      </c>
      <c r="I27" s="4">
        <v>0.04</v>
      </c>
      <c r="J27" s="4">
        <v>121.0</v>
      </c>
      <c r="K27" s="4">
        <v>24.0</v>
      </c>
      <c r="L27" s="4">
        <v>2.7</v>
      </c>
      <c r="M27" s="4">
        <v>15.0</v>
      </c>
    </row>
    <row r="28">
      <c r="A28" s="4" t="s">
        <v>114</v>
      </c>
      <c r="B28" s="4" t="s">
        <v>78</v>
      </c>
      <c r="C28" s="28">
        <v>100.0</v>
      </c>
      <c r="D28" s="28">
        <v>22.0</v>
      </c>
      <c r="E28" s="28">
        <v>2.0</v>
      </c>
      <c r="F28" s="28">
        <v>26.0</v>
      </c>
      <c r="G28" s="28">
        <v>330.0</v>
      </c>
      <c r="H28" s="4">
        <v>0.0</v>
      </c>
      <c r="I28" s="4">
        <v>0.04</v>
      </c>
      <c r="J28" s="4">
        <v>98.0</v>
      </c>
      <c r="K28" s="4">
        <v>26.0</v>
      </c>
      <c r="L28" s="4">
        <v>3.5</v>
      </c>
      <c r="M28" s="4">
        <v>20.0</v>
      </c>
    </row>
    <row r="29">
      <c r="A29" s="4" t="s">
        <v>75</v>
      </c>
      <c r="B29" s="4" t="s">
        <v>76</v>
      </c>
      <c r="C29" s="28">
        <v>40.0</v>
      </c>
      <c r="D29" s="28">
        <v>32.0</v>
      </c>
      <c r="E29" s="28">
        <v>4.3</v>
      </c>
      <c r="F29" s="28">
        <v>2.7</v>
      </c>
      <c r="G29" s="28">
        <v>170.0</v>
      </c>
      <c r="H29" s="4">
        <v>0.0</v>
      </c>
      <c r="I29" s="4">
        <v>0.05</v>
      </c>
      <c r="J29" s="4">
        <v>160.0</v>
      </c>
      <c r="K29" s="4">
        <v>20.0</v>
      </c>
      <c r="L29" s="4">
        <v>2.0</v>
      </c>
      <c r="M29" s="4">
        <v>0.0</v>
      </c>
    </row>
    <row r="30">
      <c r="A30" s="4" t="s">
        <v>115</v>
      </c>
      <c r="B30" s="4" t="s">
        <v>78</v>
      </c>
      <c r="C30" s="28">
        <v>100.0</v>
      </c>
      <c r="D30" s="28">
        <v>26.0</v>
      </c>
      <c r="E30" s="28">
        <v>16.0</v>
      </c>
      <c r="F30" s="28">
        <v>49.0</v>
      </c>
      <c r="G30" s="28">
        <v>567.0</v>
      </c>
      <c r="H30" s="4">
        <v>8.5</v>
      </c>
      <c r="I30" s="4">
        <v>0.003</v>
      </c>
      <c r="J30" s="4">
        <v>705.0</v>
      </c>
      <c r="K30" s="4">
        <v>168.0</v>
      </c>
      <c r="L30" s="4">
        <v>3.3</v>
      </c>
      <c r="M30" s="4">
        <v>0.0</v>
      </c>
    </row>
    <row r="31">
      <c r="A31" s="4" t="s">
        <v>116</v>
      </c>
      <c r="B31" s="4" t="s">
        <v>74</v>
      </c>
      <c r="C31" s="28">
        <v>5.0</v>
      </c>
      <c r="D31" s="28">
        <v>0.7</v>
      </c>
      <c r="E31" s="28">
        <v>0.6</v>
      </c>
      <c r="F31" s="28">
        <v>3.3</v>
      </c>
      <c r="G31" s="28">
        <v>33.0</v>
      </c>
      <c r="H31" s="4">
        <v>0.4</v>
      </c>
      <c r="I31" s="4">
        <v>0.003</v>
      </c>
      <c r="J31" s="4">
        <v>33.0</v>
      </c>
      <c r="K31" s="4">
        <v>18.0</v>
      </c>
      <c r="L31" s="4">
        <v>0.2</v>
      </c>
      <c r="M31" s="4">
        <v>0.0</v>
      </c>
    </row>
    <row r="32">
      <c r="A32" s="4" t="s">
        <v>117</v>
      </c>
      <c r="B32" s="4" t="s">
        <v>78</v>
      </c>
      <c r="C32" s="28">
        <v>100.0</v>
      </c>
      <c r="D32" s="28">
        <v>18.0</v>
      </c>
      <c r="E32" s="28">
        <v>30.0</v>
      </c>
      <c r="F32" s="28">
        <v>44.0</v>
      </c>
      <c r="G32" s="28">
        <v>553.0</v>
      </c>
      <c r="H32" s="4">
        <v>3.3</v>
      </c>
      <c r="I32" s="4">
        <v>0.1</v>
      </c>
      <c r="J32" s="4">
        <v>565.0</v>
      </c>
      <c r="K32" s="4">
        <v>292.0</v>
      </c>
      <c r="L32" s="4">
        <v>5.8</v>
      </c>
      <c r="M32" s="4">
        <v>0.0</v>
      </c>
    </row>
    <row r="33">
      <c r="A33" s="4" t="s">
        <v>85</v>
      </c>
      <c r="B33" s="4" t="s">
        <v>86</v>
      </c>
      <c r="C33" s="28">
        <v>13.0</v>
      </c>
      <c r="D33" s="28">
        <v>0.0</v>
      </c>
      <c r="E33" s="28">
        <v>0.0</v>
      </c>
      <c r="F33" s="28">
        <v>13.0</v>
      </c>
      <c r="G33" s="28">
        <v>119.0</v>
      </c>
      <c r="H33" s="4">
        <v>0.0</v>
      </c>
      <c r="I33" s="4">
        <v>0.1</v>
      </c>
      <c r="J33" s="4">
        <v>1.0</v>
      </c>
      <c r="K33" s="4">
        <v>0.0</v>
      </c>
      <c r="L33" s="4">
        <v>0.0</v>
      </c>
      <c r="M33" s="4">
        <v>0.0</v>
      </c>
    </row>
    <row r="34">
      <c r="A34" s="4" t="s">
        <v>118</v>
      </c>
      <c r="B34" s="4" t="s">
        <v>86</v>
      </c>
      <c r="C34" s="28">
        <v>10.0</v>
      </c>
      <c r="D34" s="28">
        <v>0.1</v>
      </c>
      <c r="E34" s="28">
        <v>0.0</v>
      </c>
      <c r="F34" s="28">
        <v>8.0</v>
      </c>
      <c r="G34" s="28">
        <v>72.0</v>
      </c>
      <c r="H34" s="4">
        <v>0.0</v>
      </c>
      <c r="I34" s="4">
        <v>0.03</v>
      </c>
      <c r="J34" s="4">
        <v>3.0</v>
      </c>
      <c r="K34" s="4">
        <v>0.0</v>
      </c>
      <c r="L34" s="4">
        <v>0.0</v>
      </c>
      <c r="M34" s="4">
        <v>7.0</v>
      </c>
    </row>
    <row r="35">
      <c r="A35" s="4" t="s">
        <v>119</v>
      </c>
      <c r="B35" s="4" t="s">
        <v>86</v>
      </c>
      <c r="C35" s="28">
        <v>12.0</v>
      </c>
      <c r="D35" s="28">
        <v>0.1</v>
      </c>
      <c r="E35" s="28">
        <v>0.1</v>
      </c>
      <c r="F35" s="28">
        <v>8.0</v>
      </c>
      <c r="G35" s="28">
        <v>90.0</v>
      </c>
      <c r="H35" s="4">
        <v>0.0</v>
      </c>
      <c r="I35" s="4">
        <v>0.05</v>
      </c>
      <c r="J35" s="4">
        <v>2.0</v>
      </c>
      <c r="K35" s="4">
        <v>0.0</v>
      </c>
      <c r="L35" s="4">
        <v>0.0</v>
      </c>
      <c r="M35" s="4">
        <v>2.0</v>
      </c>
    </row>
    <row r="36">
      <c r="A36" s="4" t="s">
        <v>120</v>
      </c>
      <c r="B36" s="4" t="s">
        <v>78</v>
      </c>
      <c r="C36" s="28">
        <v>100.0</v>
      </c>
      <c r="D36" s="28">
        <v>1.4</v>
      </c>
      <c r="E36" s="28">
        <v>2.9</v>
      </c>
      <c r="F36" s="28">
        <v>0.2</v>
      </c>
      <c r="G36" s="28">
        <v>15.0</v>
      </c>
      <c r="H36" s="4">
        <v>1.3</v>
      </c>
      <c r="I36" s="4">
        <v>0.02</v>
      </c>
      <c r="J36" s="4">
        <v>194.0</v>
      </c>
      <c r="K36" s="4">
        <v>13.0</v>
      </c>
      <c r="L36" s="4">
        <v>0.2</v>
      </c>
      <c r="M36" s="4">
        <v>0.0</v>
      </c>
    </row>
    <row r="37">
      <c r="A37" s="4" t="s">
        <v>121</v>
      </c>
      <c r="B37" s="4" t="s">
        <v>78</v>
      </c>
      <c r="C37" s="28">
        <v>100.0</v>
      </c>
      <c r="D37" s="28">
        <v>0.9</v>
      </c>
      <c r="E37" s="28">
        <v>3.9</v>
      </c>
      <c r="F37" s="28">
        <v>0.2</v>
      </c>
      <c r="G37" s="28">
        <v>18.0</v>
      </c>
      <c r="H37" s="4">
        <v>1.2</v>
      </c>
      <c r="I37" s="4">
        <v>0.02</v>
      </c>
      <c r="J37" s="4">
        <v>237.0</v>
      </c>
      <c r="K37" s="4">
        <v>11.0</v>
      </c>
      <c r="L37" s="4">
        <v>0.2</v>
      </c>
      <c r="M37" s="4">
        <v>0.0</v>
      </c>
    </row>
    <row r="38">
      <c r="A38" s="4" t="s">
        <v>122</v>
      </c>
      <c r="B38" s="4" t="s">
        <v>78</v>
      </c>
      <c r="C38" s="28">
        <v>100.0</v>
      </c>
      <c r="D38" s="28">
        <v>2.8</v>
      </c>
      <c r="E38" s="28">
        <v>7.0</v>
      </c>
      <c r="F38" s="28">
        <v>0.4</v>
      </c>
      <c r="G38" s="28">
        <v>34.0</v>
      </c>
      <c r="H38" s="4">
        <v>2.6</v>
      </c>
      <c r="I38" s="4">
        <v>0.05</v>
      </c>
      <c r="J38" s="4">
        <v>316.0</v>
      </c>
      <c r="K38" s="4">
        <v>21.0</v>
      </c>
      <c r="L38" s="4">
        <v>0.41</v>
      </c>
      <c r="M38" s="4">
        <v>0.0</v>
      </c>
    </row>
    <row r="39">
      <c r="A39" s="4" t="s">
        <v>123</v>
      </c>
      <c r="B39" s="4" t="s">
        <v>78</v>
      </c>
      <c r="C39" s="28">
        <v>100.0</v>
      </c>
      <c r="D39" s="28">
        <v>2.0</v>
      </c>
      <c r="E39" s="28">
        <v>9.0</v>
      </c>
      <c r="F39" s="28">
        <v>15.0</v>
      </c>
      <c r="G39" s="28">
        <v>160.0</v>
      </c>
      <c r="H39" s="4">
        <v>6.7</v>
      </c>
      <c r="I39" s="4">
        <v>0.11</v>
      </c>
      <c r="J39" s="4">
        <v>485.0</v>
      </c>
      <c r="K39" s="4">
        <v>29.0</v>
      </c>
      <c r="L39" s="4">
        <v>0.64</v>
      </c>
      <c r="M39" s="4">
        <v>0.0</v>
      </c>
    </row>
    <row r="40">
      <c r="A40" s="4" t="s">
        <v>124</v>
      </c>
      <c r="B40" s="4" t="s">
        <v>78</v>
      </c>
      <c r="C40" s="28">
        <v>100.0</v>
      </c>
      <c r="D40" s="28">
        <v>7.8</v>
      </c>
      <c r="E40" s="28">
        <v>45.0</v>
      </c>
      <c r="F40" s="28">
        <v>43.0</v>
      </c>
      <c r="G40" s="28">
        <v>598.0</v>
      </c>
      <c r="H40" s="4">
        <v>11.0</v>
      </c>
      <c r="I40" s="4">
        <v>0.08</v>
      </c>
      <c r="J40" s="4">
        <v>715.0</v>
      </c>
      <c r="K40" s="4">
        <v>228.0</v>
      </c>
      <c r="L40" s="4">
        <v>3.3</v>
      </c>
      <c r="M40" s="4">
        <v>0.0</v>
      </c>
    </row>
    <row r="41">
      <c r="A41" s="4" t="s">
        <v>125</v>
      </c>
      <c r="B41" s="4" t="s">
        <v>78</v>
      </c>
      <c r="C41" s="28">
        <v>100.0</v>
      </c>
      <c r="D41" s="28">
        <v>3.4</v>
      </c>
      <c r="E41" s="28">
        <v>41.0</v>
      </c>
      <c r="F41" s="28">
        <v>15.0</v>
      </c>
      <c r="G41" s="28">
        <v>312.0</v>
      </c>
      <c r="H41" s="4">
        <v>3.8</v>
      </c>
      <c r="I41" s="4">
        <v>0.02</v>
      </c>
      <c r="J41" s="4">
        <v>579.0</v>
      </c>
      <c r="K41" s="4">
        <v>38.0</v>
      </c>
      <c r="L41" s="4">
        <v>0.3</v>
      </c>
      <c r="M41" s="4">
        <v>0.0</v>
      </c>
    </row>
    <row r="42">
      <c r="A42" s="4" t="s">
        <v>126</v>
      </c>
      <c r="B42" s="4" t="s">
        <v>78</v>
      </c>
      <c r="C42" s="28">
        <v>100.0</v>
      </c>
      <c r="D42" s="28">
        <v>0.0</v>
      </c>
      <c r="E42" s="28">
        <v>100.0</v>
      </c>
      <c r="F42" s="28">
        <v>0.0</v>
      </c>
      <c r="G42" s="28">
        <v>387.0</v>
      </c>
      <c r="H42" s="4">
        <v>0.0</v>
      </c>
      <c r="I42" s="4">
        <v>0.0</v>
      </c>
      <c r="J42" s="4">
        <v>2.0</v>
      </c>
      <c r="K42" s="4">
        <v>0.0</v>
      </c>
      <c r="L42" s="4">
        <v>0.0</v>
      </c>
      <c r="M42" s="4">
        <v>0.0</v>
      </c>
    </row>
    <row r="43">
      <c r="A43" s="4" t="s">
        <v>82</v>
      </c>
      <c r="B43" s="4" t="s">
        <v>78</v>
      </c>
      <c r="C43" s="4">
        <v>100.0</v>
      </c>
      <c r="D43" s="4">
        <v>23.0</v>
      </c>
      <c r="E43" s="4">
        <v>0.0</v>
      </c>
      <c r="F43" s="4">
        <v>1.0</v>
      </c>
      <c r="G43" s="4">
        <v>101.0</v>
      </c>
      <c r="H43" s="4">
        <v>0.0</v>
      </c>
      <c r="I43" s="4">
        <v>0.04</v>
      </c>
      <c r="J43" s="4">
        <v>256.0</v>
      </c>
      <c r="K43" s="4">
        <v>29.0</v>
      </c>
      <c r="L43" s="4">
        <v>1.0</v>
      </c>
      <c r="M43" s="4">
        <v>0.0</v>
      </c>
    </row>
    <row r="44">
      <c r="A44" s="4" t="s">
        <v>127</v>
      </c>
      <c r="B44" s="4" t="s">
        <v>78</v>
      </c>
      <c r="C44" s="28">
        <v>100.0</v>
      </c>
      <c r="D44" s="28">
        <v>1.3</v>
      </c>
      <c r="E44" s="28">
        <v>3.3</v>
      </c>
      <c r="F44" s="28">
        <v>0.2</v>
      </c>
      <c r="G44" s="28">
        <v>17.0</v>
      </c>
      <c r="H44" s="4">
        <v>3.1</v>
      </c>
      <c r="I44" s="4">
        <v>0.02</v>
      </c>
      <c r="J44" s="4">
        <v>314.0</v>
      </c>
      <c r="K44" s="4">
        <v>15.0</v>
      </c>
      <c r="L44" s="4">
        <v>0.3</v>
      </c>
      <c r="M44" s="4">
        <v>0.0</v>
      </c>
    </row>
    <row r="45">
      <c r="A45" s="4" t="s">
        <v>128</v>
      </c>
      <c r="B45" s="4" t="s">
        <v>78</v>
      </c>
      <c r="C45" s="28">
        <v>100.0</v>
      </c>
      <c r="D45" s="28">
        <v>0.9</v>
      </c>
      <c r="E45" s="28">
        <v>11.8</v>
      </c>
      <c r="F45" s="28">
        <v>0.1</v>
      </c>
      <c r="G45" s="28">
        <v>47.0</v>
      </c>
      <c r="H45" s="4">
        <v>2.4</v>
      </c>
      <c r="I45" s="4">
        <v>0.02</v>
      </c>
      <c r="J45" s="4">
        <v>181.0</v>
      </c>
      <c r="K45" s="4">
        <v>10.0</v>
      </c>
      <c r="L45" s="4">
        <v>0.07</v>
      </c>
      <c r="M45" s="4">
        <v>0.0</v>
      </c>
    </row>
    <row r="46">
      <c r="A46" s="4" t="s">
        <v>83</v>
      </c>
      <c r="B46" s="4" t="s">
        <v>78</v>
      </c>
      <c r="C46" s="28">
        <v>100.0</v>
      </c>
      <c r="D46" s="28">
        <v>0.9</v>
      </c>
      <c r="E46" s="28">
        <v>10.0</v>
      </c>
      <c r="F46" s="28">
        <v>0.2</v>
      </c>
      <c r="G46" s="28">
        <v>41.0</v>
      </c>
      <c r="H46" s="4">
        <v>2.8</v>
      </c>
      <c r="I46" s="4">
        <v>0.01</v>
      </c>
      <c r="J46" s="4">
        <v>320.0</v>
      </c>
      <c r="K46" s="4">
        <v>12.0</v>
      </c>
      <c r="L46" s="4">
        <v>0.24</v>
      </c>
      <c r="M46" s="4">
        <v>0.0</v>
      </c>
    </row>
    <row r="47">
      <c r="A47" s="4" t="s">
        <v>129</v>
      </c>
      <c r="B47" s="4" t="s">
        <v>78</v>
      </c>
      <c r="C47" s="28">
        <v>1.0</v>
      </c>
      <c r="D47" s="29">
        <v>113.0</v>
      </c>
      <c r="E47" s="28">
        <v>0.63</v>
      </c>
      <c r="F47" s="29">
        <v>73.0</v>
      </c>
      <c r="G47" s="28">
        <v>3.77</v>
      </c>
      <c r="H47" s="30">
        <v>106.0</v>
      </c>
      <c r="I47" s="4">
        <v>0.0</v>
      </c>
      <c r="J47" s="4">
        <v>4.29</v>
      </c>
      <c r="K47" s="4">
        <v>1.77</v>
      </c>
      <c r="L47" s="4">
        <v>0.04</v>
      </c>
      <c r="M47" s="4">
        <v>0.0</v>
      </c>
    </row>
    <row r="48">
      <c r="A48" s="4" t="s">
        <v>84</v>
      </c>
      <c r="B48" s="4" t="s">
        <v>78</v>
      </c>
      <c r="C48" s="28">
        <v>100.0</v>
      </c>
      <c r="D48" s="28">
        <v>2.9</v>
      </c>
      <c r="E48" s="28">
        <v>3.6</v>
      </c>
      <c r="F48" s="28">
        <v>0.4</v>
      </c>
      <c r="G48" s="28">
        <v>23.0</v>
      </c>
      <c r="H48" s="4">
        <v>2.4</v>
      </c>
      <c r="I48" s="4">
        <v>0.14</v>
      </c>
      <c r="J48" s="4">
        <v>466.0</v>
      </c>
      <c r="K48" s="4">
        <v>79.0</v>
      </c>
      <c r="L48" s="4">
        <v>0.5</v>
      </c>
      <c r="M48" s="4">
        <v>0.0</v>
      </c>
    </row>
    <row r="49">
      <c r="A49" s="4" t="s">
        <v>130</v>
      </c>
      <c r="B49" s="4" t="s">
        <v>78</v>
      </c>
      <c r="C49" s="28">
        <v>100.0</v>
      </c>
      <c r="D49" s="28">
        <v>29.0</v>
      </c>
      <c r="E49" s="28">
        <v>0.0</v>
      </c>
      <c r="F49" s="28">
        <v>1.0</v>
      </c>
      <c r="G49" s="28">
        <v>130.0</v>
      </c>
      <c r="H49" s="4">
        <v>0.0</v>
      </c>
      <c r="I49" s="4">
        <v>0.2</v>
      </c>
      <c r="J49" s="4">
        <v>628.0</v>
      </c>
      <c r="K49" s="4">
        <v>50.0</v>
      </c>
      <c r="L49" s="4">
        <v>1.0</v>
      </c>
      <c r="M49" s="4">
        <v>100.0</v>
      </c>
    </row>
    <row r="50">
      <c r="A50" s="4" t="s">
        <v>131</v>
      </c>
      <c r="B50" s="4" t="s">
        <v>78</v>
      </c>
      <c r="C50" s="28">
        <v>100.0</v>
      </c>
      <c r="D50" s="28">
        <v>0.0</v>
      </c>
      <c r="E50" s="28">
        <v>0.0</v>
      </c>
      <c r="F50" s="28">
        <v>20.0</v>
      </c>
      <c r="G50" s="28">
        <v>213.0</v>
      </c>
      <c r="H50" s="4">
        <v>0.0</v>
      </c>
      <c r="I50" s="4">
        <v>0.0</v>
      </c>
      <c r="J50" s="4">
        <v>0.0</v>
      </c>
      <c r="K50" s="4">
        <v>0.0</v>
      </c>
      <c r="L50" s="4">
        <v>0.0</v>
      </c>
      <c r="M50" s="4">
        <v>0.0</v>
      </c>
    </row>
    <row r="51">
      <c r="A51" s="4" t="s">
        <v>71</v>
      </c>
      <c r="B51" s="4" t="s">
        <v>70</v>
      </c>
      <c r="C51" s="28">
        <v>1.45</v>
      </c>
      <c r="D51" s="28">
        <v>0.23</v>
      </c>
      <c r="E51" s="28">
        <v>0.0</v>
      </c>
      <c r="F51" s="28">
        <v>1.0</v>
      </c>
      <c r="G51" s="28">
        <v>10.0</v>
      </c>
      <c r="H51" s="4">
        <v>0.0</v>
      </c>
      <c r="I51" s="4">
        <v>0.412</v>
      </c>
      <c r="J51" s="4">
        <v>0.0</v>
      </c>
      <c r="K51" s="4">
        <v>0.0</v>
      </c>
      <c r="L51" s="4">
        <v>0.0</v>
      </c>
      <c r="M51" s="4">
        <v>0.0</v>
      </c>
    </row>
    <row r="52">
      <c r="A52" s="4" t="s">
        <v>67</v>
      </c>
      <c r="B52" s="4" t="s">
        <v>68</v>
      </c>
      <c r="C52" s="28">
        <v>250.0</v>
      </c>
      <c r="D52" s="28">
        <v>7.9</v>
      </c>
      <c r="E52" s="28">
        <v>11.25</v>
      </c>
      <c r="F52" s="28">
        <v>2.5</v>
      </c>
      <c r="G52" s="28">
        <v>99.0</v>
      </c>
      <c r="H52" s="4">
        <v>0.0</v>
      </c>
      <c r="I52" s="4">
        <v>0.0</v>
      </c>
      <c r="J52" s="4">
        <v>0.0</v>
      </c>
      <c r="K52" s="4">
        <v>0.0</v>
      </c>
      <c r="L52" s="4">
        <v>0.0</v>
      </c>
      <c r="M52" s="4">
        <v>0.0</v>
      </c>
    </row>
    <row r="53">
      <c r="A53" s="4" t="s">
        <v>132</v>
      </c>
      <c r="B53" s="4" t="s">
        <v>78</v>
      </c>
      <c r="C53" s="28">
        <v>100.0</v>
      </c>
      <c r="D53" s="28">
        <v>7.5</v>
      </c>
      <c r="E53" s="28">
        <v>59.0</v>
      </c>
      <c r="F53" s="28">
        <v>30.0</v>
      </c>
      <c r="G53" s="28">
        <v>535.0</v>
      </c>
      <c r="H53" s="4">
        <v>3.0</v>
      </c>
      <c r="I53" s="4">
        <v>0.1</v>
      </c>
      <c r="J53" s="4">
        <v>372.0</v>
      </c>
      <c r="K53" s="4">
        <v>63.0</v>
      </c>
      <c r="L53" s="4">
        <v>2.3</v>
      </c>
      <c r="M53" s="4">
        <v>0.0</v>
      </c>
    </row>
    <row r="54">
      <c r="A54" s="4" t="s">
        <v>69</v>
      </c>
      <c r="B54" s="4" t="s">
        <v>70</v>
      </c>
      <c r="C54" s="28">
        <v>0.3</v>
      </c>
      <c r="D54" s="28">
        <v>0.0</v>
      </c>
      <c r="E54" s="28">
        <v>0.0</v>
      </c>
      <c r="F54" s="28">
        <v>0.0</v>
      </c>
      <c r="G54" s="28">
        <v>0.0</v>
      </c>
      <c r="H54" s="4">
        <v>0.0</v>
      </c>
      <c r="I54" s="4">
        <v>0.0</v>
      </c>
      <c r="J54" s="4">
        <v>0.0</v>
      </c>
      <c r="K54" s="4">
        <v>0.0</v>
      </c>
      <c r="L54" s="4">
        <v>0.0</v>
      </c>
      <c r="M54" s="4">
        <v>2000.0</v>
      </c>
    </row>
  </sheetData>
  <drawing r:id="rId1"/>
</worksheet>
</file>